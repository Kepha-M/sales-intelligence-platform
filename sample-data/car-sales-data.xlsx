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ers" sheetId="1" r:id="rId5"/>
    <sheet state="visible" name="Models" sheetId="2" r:id="rId6"/>
    <sheet state="visible" name="Sales" sheetId="3" r:id="rId7"/>
    <sheet state="visible" name="Dashboard_Data" sheetId="4" r:id="rId8"/>
  </sheets>
  <definedNames/>
  <calcPr/>
</workbook>
</file>

<file path=xl/sharedStrings.xml><?xml version="1.0" encoding="utf-8"?>
<sst xmlns="http://schemas.openxmlformats.org/spreadsheetml/2006/main" count="129" uniqueCount="83">
  <si>
    <t>DealerID</t>
  </si>
  <si>
    <t>DealerName</t>
  </si>
  <si>
    <t>City</t>
  </si>
  <si>
    <t>Country</t>
  </si>
  <si>
    <t>Smith's Car Dealership</t>
  </si>
  <si>
    <t>Johannesburg</t>
  </si>
  <si>
    <t>South Africa</t>
  </si>
  <si>
    <t>Brown's Auto</t>
  </si>
  <si>
    <t>Cape Town</t>
  </si>
  <si>
    <t>Jones Auto Group</t>
  </si>
  <si>
    <t>Durban</t>
  </si>
  <si>
    <t>Moyo Auto Sales</t>
  </si>
  <si>
    <t>Francistown</t>
  </si>
  <si>
    <t>Botswana</t>
  </si>
  <si>
    <t>Kgosi Car Dealership</t>
  </si>
  <si>
    <t>Gaborone</t>
  </si>
  <si>
    <t>Bala Car Sales</t>
  </si>
  <si>
    <t>Maun</t>
  </si>
  <si>
    <t>Sibanda Motors</t>
  </si>
  <si>
    <t>Lekgotla Car Dealership</t>
  </si>
  <si>
    <t>Lobatse</t>
  </si>
  <si>
    <t>Tau's Car Sales</t>
  </si>
  <si>
    <t>Selebi-Phikwe</t>
  </si>
  <si>
    <t>Nkosi Auto</t>
  </si>
  <si>
    <t>Molepolole</t>
  </si>
  <si>
    <t>ModelID</t>
  </si>
  <si>
    <t>Brand</t>
  </si>
  <si>
    <t>Model</t>
  </si>
  <si>
    <t>Segment</t>
  </si>
  <si>
    <t>EngineSize (L)</t>
  </si>
  <si>
    <t>Fuel</t>
  </si>
  <si>
    <t>Price (USD)</t>
  </si>
  <si>
    <t>Profit (USD)</t>
  </si>
  <si>
    <t>Toyota</t>
  </si>
  <si>
    <t>Corolla</t>
  </si>
  <si>
    <t>Sedan</t>
  </si>
  <si>
    <t>1.8</t>
  </si>
  <si>
    <t>Petrol</t>
  </si>
  <si>
    <t>Volkswagen</t>
  </si>
  <si>
    <t>Polo</t>
  </si>
  <si>
    <t>Hatchback</t>
  </si>
  <si>
    <t>1.0</t>
  </si>
  <si>
    <t>Ford</t>
  </si>
  <si>
    <t>Ranger</t>
  </si>
  <si>
    <t>Pickup</t>
  </si>
  <si>
    <t>2.2</t>
  </si>
  <si>
    <t>Diesel</t>
  </si>
  <si>
    <t>BMW</t>
  </si>
  <si>
    <t>3 Series</t>
  </si>
  <si>
    <t>2.0</t>
  </si>
  <si>
    <t>Mercedes-Benz</t>
  </si>
  <si>
    <t>C-Class</t>
  </si>
  <si>
    <t>Hyundai</t>
  </si>
  <si>
    <t>i20</t>
  </si>
  <si>
    <t>1.2</t>
  </si>
  <si>
    <t>Nissan</t>
  </si>
  <si>
    <t>Qashqai</t>
  </si>
  <si>
    <t>SUV</t>
  </si>
  <si>
    <t>1.6</t>
  </si>
  <si>
    <t>Kia</t>
  </si>
  <si>
    <t>Rio</t>
  </si>
  <si>
    <t>1.4</t>
  </si>
  <si>
    <t>Audi</t>
  </si>
  <si>
    <t>A4</t>
  </si>
  <si>
    <t>Renault</t>
  </si>
  <si>
    <t>Kwid</t>
  </si>
  <si>
    <t>X3</t>
  </si>
  <si>
    <t>Golf</t>
  </si>
  <si>
    <t>Fiesta</t>
  </si>
  <si>
    <t>1.5</t>
  </si>
  <si>
    <t>Hilux</t>
  </si>
  <si>
    <t>2.8</t>
  </si>
  <si>
    <t>GLA-Class</t>
  </si>
  <si>
    <t>SaleID</t>
  </si>
  <si>
    <t>Date</t>
  </si>
  <si>
    <t>Quantity</t>
  </si>
  <si>
    <t>TotalPrice</t>
  </si>
  <si>
    <t>Total Profit</t>
  </si>
  <si>
    <t>id</t>
  </si>
  <si>
    <t>json</t>
  </si>
  <si>
    <t>updatedAt</t>
  </si>
  <si>
    <t>{"revenueByCountry":{"Botswana":6561000,"South Africa":2955000},"topCars":[["Kia Rio",34],["BMW 3 Series",33],["Nissan Qashqai",32]],"segmentStats":{"Sedan":{"sales":140,"profit":404100},"Hatchback":{"sales":103,"profit":153000},"SUV":{"sales":71,"profit":308900},"Pickup":{"sales":48,"profit":297200}},"revenueByCity":{"Lobatse":879000,"Selebi-Phikwe":878000,"Johannesburg":765000,"Durban":927000,"Gaborone":2006000,"Molepolole":937000,"Maun":1043000,"Francistown":818000,"Cape Town":1263000}}</t>
  </si>
  <si>
    <t>2026-04-25T14:27:21.959Z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</si>
</sst>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2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Dealers-style">
      <tableStyleElement dxfId="1" type="headerRow"/>
      <tableStyleElement dxfId="2" type="firstRowStripe"/>
      <tableStyleElement dxfId="2" type="secondRowStripe"/>
    </tableStyle>
    <tableStyle count="3" pivot="0" name="Models-style">
      <tableStyleElement dxfId="1" type="headerRow"/>
      <tableStyleElement dxfId="2" type="firstRowStripe"/>
      <tableStyleElement dxfId="2" type="secondRowStripe"/>
    </tableStyle>
    <tableStyle count="3" pivot="0" name="Sale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Table_1" name="Table_1" id="1">
  <tableColumns count="4">
    <tableColumn name="DealerID" id="1"/>
    <tableColumn name="DealerName" id="2"/>
    <tableColumn name="City" id="3"/>
    <tableColumn name="Country" id="4"/>
  </tableColumns>
  <tableStyleInfo name="Dealers-style" showColumnStripes="0" showFirstColumn="1" showLastColumn="1" showRowStripes="1"/>
</table>
</file>

<file path=xl/tables/table2.xml><?xml version="1.0" encoding="utf-8"?>
<table xmlns="http://schemas.openxmlformats.org/spreadsheetml/2006/main" ref="A1:H16" displayName="Table_2" name="Table_2" id="2">
  <tableColumns count="8">
    <tableColumn name="ModelID" id="1"/>
    <tableColumn name="Brand" id="2"/>
    <tableColumn name="Model" id="3"/>
    <tableColumn name="Segment" id="4"/>
    <tableColumn name="EngineSize (L)" id="5"/>
    <tableColumn name="Fuel" id="6"/>
    <tableColumn name="Price (USD)" id="7"/>
    <tableColumn name="Profit (USD)" id="8"/>
  </tableColumns>
  <tableStyleInfo name="Models-style" showColumnStripes="0" showFirstColumn="1" showLastColumn="1" showRowStripes="1"/>
</table>
</file>

<file path=xl/tables/table3.xml><?xml version="1.0" encoding="utf-8"?>
<table xmlns="http://schemas.openxmlformats.org/spreadsheetml/2006/main" ref="A1:G220" displayName="Table_3" name="Table_3" id="3">
  <tableColumns count="7">
    <tableColumn name="SaleID" id="1"/>
    <tableColumn name="Date" id="2"/>
    <tableColumn name="DealerID" id="3"/>
    <tableColumn name="ModelID" id="4"/>
    <tableColumn name="Quantity" id="5"/>
    <tableColumn name="TotalPrice" id="6"/>
    <tableColumn name="Total Profit" id="7"/>
  </tableColumns>
  <tableStyleInfo name="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8.43"/>
    <col customWidth="1" min="3" max="3" width="35.29"/>
    <col customWidth="1" min="4" max="4" width="15.43"/>
    <col customWidth="1" min="5" max="5" width="32.29"/>
    <col customWidth="1" min="6" max="6" width="13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6</v>
      </c>
    </row>
    <row r="4">
      <c r="A4" s="2">
        <v>3.0</v>
      </c>
      <c r="B4" s="2" t="s">
        <v>9</v>
      </c>
      <c r="C4" s="2" t="s">
        <v>10</v>
      </c>
      <c r="D4" s="2" t="s">
        <v>6</v>
      </c>
    </row>
    <row r="5">
      <c r="A5" s="2">
        <v>4.0</v>
      </c>
      <c r="B5" s="2" t="s">
        <v>11</v>
      </c>
      <c r="C5" s="2" t="s">
        <v>12</v>
      </c>
      <c r="D5" s="2" t="s">
        <v>13</v>
      </c>
    </row>
    <row r="6">
      <c r="A6" s="2">
        <v>5.0</v>
      </c>
      <c r="B6" s="2" t="s">
        <v>14</v>
      </c>
      <c r="C6" s="2" t="s">
        <v>15</v>
      </c>
      <c r="D6" s="2" t="s">
        <v>13</v>
      </c>
    </row>
    <row r="7">
      <c r="A7" s="2">
        <v>6.0</v>
      </c>
      <c r="B7" s="2" t="s">
        <v>16</v>
      </c>
      <c r="C7" s="2" t="s">
        <v>17</v>
      </c>
      <c r="D7" s="2" t="s">
        <v>13</v>
      </c>
    </row>
    <row r="8">
      <c r="A8" s="2">
        <v>7.0</v>
      </c>
      <c r="B8" s="2" t="s">
        <v>18</v>
      </c>
      <c r="C8" s="2" t="s">
        <v>15</v>
      </c>
      <c r="D8" s="2" t="s">
        <v>13</v>
      </c>
    </row>
    <row r="9">
      <c r="A9" s="2">
        <v>8.0</v>
      </c>
      <c r="B9" s="2" t="s">
        <v>19</v>
      </c>
      <c r="C9" s="2" t="s">
        <v>20</v>
      </c>
      <c r="D9" s="2" t="s">
        <v>13</v>
      </c>
    </row>
    <row r="10">
      <c r="A10" s="2">
        <v>9.0</v>
      </c>
      <c r="B10" s="2" t="s">
        <v>21</v>
      </c>
      <c r="C10" s="2" t="s">
        <v>22</v>
      </c>
      <c r="D10" s="2" t="s">
        <v>13</v>
      </c>
    </row>
    <row r="11">
      <c r="A11" s="2">
        <v>10.0</v>
      </c>
      <c r="B11" s="2" t="s">
        <v>23</v>
      </c>
      <c r="C11" s="2" t="s">
        <v>24</v>
      </c>
      <c r="D11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3" width="9.57"/>
    <col customWidth="1" min="4" max="4" width="11.0"/>
    <col customWidth="1" min="5" max="5" width="15.43"/>
    <col customWidth="1" min="6" max="6" width="10.57"/>
    <col customWidth="1" min="7" max="7" width="13.29"/>
    <col customWidth="1" min="8" max="8" width="13.86"/>
    <col customWidth="1" min="9" max="26" width="8.7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>
      <c r="A2" s="2">
        <v>1.0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>
        <v>18000.0</v>
      </c>
      <c r="H2" s="2">
        <f>Models!$G2*0.1</f>
        <v>1800</v>
      </c>
    </row>
    <row r="3">
      <c r="A3" s="2">
        <v>2.0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37</v>
      </c>
      <c r="G3" s="2">
        <v>15000.0</v>
      </c>
      <c r="H3" s="2">
        <f>Models!$G3*0.1</f>
        <v>1500</v>
      </c>
    </row>
    <row r="4">
      <c r="A4" s="2">
        <v>3.0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>
        <v>30000.0</v>
      </c>
      <c r="H4" s="2">
        <f>Models!$G4*0.2</f>
        <v>6000</v>
      </c>
    </row>
    <row r="5">
      <c r="A5" s="2">
        <v>4.0</v>
      </c>
      <c r="B5" s="2" t="s">
        <v>47</v>
      </c>
      <c r="C5" s="2" t="s">
        <v>48</v>
      </c>
      <c r="D5" s="2" t="s">
        <v>35</v>
      </c>
      <c r="E5" s="2" t="s">
        <v>49</v>
      </c>
      <c r="F5" s="2" t="s">
        <v>37</v>
      </c>
      <c r="G5" s="2">
        <v>35000.0</v>
      </c>
      <c r="H5" s="2">
        <f>Models!$G5*0.1</f>
        <v>3500</v>
      </c>
    </row>
    <row r="6">
      <c r="A6" s="2">
        <v>5.0</v>
      </c>
      <c r="B6" s="2" t="s">
        <v>50</v>
      </c>
      <c r="C6" s="2" t="s">
        <v>51</v>
      </c>
      <c r="D6" s="2" t="s">
        <v>35</v>
      </c>
      <c r="E6" s="2" t="s">
        <v>49</v>
      </c>
      <c r="F6" s="2" t="s">
        <v>37</v>
      </c>
      <c r="G6" s="2">
        <v>40000.0</v>
      </c>
      <c r="H6" s="2">
        <f>Models!$G6*0.1</f>
        <v>4000</v>
      </c>
    </row>
    <row r="7">
      <c r="A7" s="2">
        <v>6.0</v>
      </c>
      <c r="B7" s="2" t="s">
        <v>52</v>
      </c>
      <c r="C7" s="2" t="s">
        <v>53</v>
      </c>
      <c r="D7" s="2" t="s">
        <v>40</v>
      </c>
      <c r="E7" s="2" t="s">
        <v>54</v>
      </c>
      <c r="F7" s="2" t="s">
        <v>37</v>
      </c>
      <c r="G7" s="2">
        <v>13000.0</v>
      </c>
      <c r="H7" s="2">
        <f>Models!$G7*0.1</f>
        <v>1300</v>
      </c>
    </row>
    <row r="8">
      <c r="A8" s="2">
        <v>7.0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37</v>
      </c>
      <c r="G8" s="2">
        <v>22000.0</v>
      </c>
      <c r="H8" s="2">
        <f>Models!$G8*0.1</f>
        <v>2200</v>
      </c>
    </row>
    <row r="9">
      <c r="A9" s="2">
        <v>8.0</v>
      </c>
      <c r="B9" s="2" t="s">
        <v>59</v>
      </c>
      <c r="C9" s="2" t="s">
        <v>60</v>
      </c>
      <c r="D9" s="2" t="s">
        <v>35</v>
      </c>
      <c r="E9" s="2" t="s">
        <v>61</v>
      </c>
      <c r="F9" s="2" t="s">
        <v>37</v>
      </c>
      <c r="G9" s="2">
        <v>17000.0</v>
      </c>
      <c r="H9" s="2">
        <f>Models!$G9*0.1</f>
        <v>1700</v>
      </c>
    </row>
    <row r="10">
      <c r="A10" s="2">
        <v>9.0</v>
      </c>
      <c r="B10" s="2" t="s">
        <v>62</v>
      </c>
      <c r="C10" s="2" t="s">
        <v>63</v>
      </c>
      <c r="D10" s="2" t="s">
        <v>35</v>
      </c>
      <c r="E10" s="2" t="s">
        <v>49</v>
      </c>
      <c r="F10" s="2" t="s">
        <v>37</v>
      </c>
      <c r="G10" s="2">
        <v>40000.0</v>
      </c>
      <c r="H10" s="2">
        <f>Models!$G10*0.1</f>
        <v>4000</v>
      </c>
    </row>
    <row r="11">
      <c r="A11" s="2">
        <v>10.0</v>
      </c>
      <c r="B11" s="2" t="s">
        <v>64</v>
      </c>
      <c r="C11" s="2" t="s">
        <v>65</v>
      </c>
      <c r="D11" s="2" t="s">
        <v>40</v>
      </c>
      <c r="E11" s="2" t="s">
        <v>41</v>
      </c>
      <c r="F11" s="2" t="s">
        <v>37</v>
      </c>
      <c r="G11" s="2">
        <v>12000.0</v>
      </c>
      <c r="H11" s="2">
        <f>Models!$G11*0.1</f>
        <v>1200</v>
      </c>
    </row>
    <row r="12">
      <c r="A12" s="2">
        <v>11.0</v>
      </c>
      <c r="B12" s="2" t="s">
        <v>47</v>
      </c>
      <c r="C12" s="2" t="s">
        <v>66</v>
      </c>
      <c r="D12" s="2" t="s">
        <v>57</v>
      </c>
      <c r="E12" s="2" t="s">
        <v>49</v>
      </c>
      <c r="F12" s="2" t="s">
        <v>46</v>
      </c>
      <c r="G12" s="2">
        <v>45000.0</v>
      </c>
      <c r="H12" s="2">
        <f>Models!$G12*0.2</f>
        <v>9000</v>
      </c>
    </row>
    <row r="13">
      <c r="A13" s="2">
        <v>12.0</v>
      </c>
      <c r="B13" s="2" t="s">
        <v>38</v>
      </c>
      <c r="C13" s="2" t="s">
        <v>67</v>
      </c>
      <c r="D13" s="2" t="s">
        <v>40</v>
      </c>
      <c r="E13" s="2" t="s">
        <v>61</v>
      </c>
      <c r="F13" s="2" t="s">
        <v>37</v>
      </c>
      <c r="G13" s="2">
        <v>20000.0</v>
      </c>
      <c r="H13" s="2">
        <f>Models!$G13*0.1</f>
        <v>2000</v>
      </c>
    </row>
    <row r="14">
      <c r="A14" s="2">
        <v>13.0</v>
      </c>
      <c r="B14" s="2" t="s">
        <v>42</v>
      </c>
      <c r="C14" s="2" t="s">
        <v>68</v>
      </c>
      <c r="D14" s="2" t="s">
        <v>40</v>
      </c>
      <c r="E14" s="2" t="s">
        <v>69</v>
      </c>
      <c r="F14" s="2" t="s">
        <v>37</v>
      </c>
      <c r="G14" s="2">
        <v>14000.0</v>
      </c>
      <c r="H14" s="2">
        <f>Models!$G14*0.1</f>
        <v>1400</v>
      </c>
    </row>
    <row r="15">
      <c r="A15" s="2">
        <v>14.0</v>
      </c>
      <c r="B15" s="2" t="s">
        <v>33</v>
      </c>
      <c r="C15" s="2" t="s">
        <v>70</v>
      </c>
      <c r="D15" s="2" t="s">
        <v>44</v>
      </c>
      <c r="E15" s="2" t="s">
        <v>71</v>
      </c>
      <c r="F15" s="2" t="s">
        <v>46</v>
      </c>
      <c r="G15" s="2">
        <v>32000.0</v>
      </c>
      <c r="H15" s="2">
        <f>Models!$G15*0.2</f>
        <v>6400</v>
      </c>
    </row>
    <row r="16">
      <c r="A16" s="2">
        <v>15.0</v>
      </c>
      <c r="B16" s="2" t="s">
        <v>50</v>
      </c>
      <c r="C16" s="2" t="s">
        <v>72</v>
      </c>
      <c r="D16" s="2" t="s">
        <v>57</v>
      </c>
      <c r="E16" s="2" t="s">
        <v>49</v>
      </c>
      <c r="F16" s="2" t="s">
        <v>37</v>
      </c>
      <c r="G16" s="2">
        <v>45000.0</v>
      </c>
      <c r="H16" s="2">
        <f>Models!$G16*0.1</f>
        <v>4500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0"/>
    <col customWidth="1" min="3" max="3" width="10.86"/>
    <col customWidth="1" min="4" max="4" width="10.71"/>
    <col customWidth="1" min="5" max="5" width="10.86"/>
    <col customWidth="1" min="6" max="6" width="12.14"/>
    <col customWidth="1" min="7" max="7" width="13.14"/>
    <col customWidth="1" min="8" max="26" width="8.71"/>
  </cols>
  <sheetData>
    <row r="1">
      <c r="A1" s="1" t="s">
        <v>73</v>
      </c>
      <c r="B1" s="1" t="s">
        <v>74</v>
      </c>
      <c r="C1" s="1" t="s">
        <v>0</v>
      </c>
      <c r="D1" s="1" t="s">
        <v>25</v>
      </c>
      <c r="E1" s="1" t="s">
        <v>75</v>
      </c>
      <c r="F1" s="1" t="s">
        <v>76</v>
      </c>
      <c r="G1" s="1" t="s">
        <v>77</v>
      </c>
    </row>
    <row r="2">
      <c r="A2" s="2">
        <v>1.0</v>
      </c>
      <c r="B2" s="3">
        <v>44566.0</v>
      </c>
      <c r="C2" s="2">
        <v>8.0</v>
      </c>
      <c r="D2" s="2">
        <v>8.0</v>
      </c>
      <c r="E2" s="4">
        <v>1.0</v>
      </c>
      <c r="F2" s="2">
        <f t="array" ref="F2">Sales!$E2*(INDEX(Models!G:G,MATCH(Sales!$D2,Models!A:A,0)))</f>
        <v>17000</v>
      </c>
      <c r="G2" s="2">
        <f t="array" ref="G2">Sales!$E2*(INDEX(Models!H:H,MATCH(Sales!$D2,Models!A:A,0)))</f>
        <v>1700</v>
      </c>
    </row>
    <row r="3">
      <c r="A3" s="2">
        <v>2.0</v>
      </c>
      <c r="B3" s="3">
        <v>44569.0</v>
      </c>
      <c r="C3" s="2">
        <v>9.0</v>
      </c>
      <c r="D3" s="2">
        <v>6.0</v>
      </c>
      <c r="E3" s="2">
        <v>1.0</v>
      </c>
      <c r="F3" s="2">
        <f t="array" ref="F3">Sales!$E3*(INDEX(Models!G:G,MATCH(Sales!$D3,Models!A:A,0)))</f>
        <v>13000</v>
      </c>
      <c r="G3" s="2">
        <f t="array" ref="G3">Sales!$E3*(INDEX(Models!H:H,MATCH(Sales!$D3,Models!A:A,0)))</f>
        <v>1300</v>
      </c>
    </row>
    <row r="4">
      <c r="A4" s="2">
        <v>3.0</v>
      </c>
      <c r="B4" s="3">
        <v>44604.0</v>
      </c>
      <c r="C4" s="2">
        <v>1.0</v>
      </c>
      <c r="D4" s="2">
        <v>12.0</v>
      </c>
      <c r="E4" s="2">
        <v>2.0</v>
      </c>
      <c r="F4" s="2">
        <f t="array" ref="F4">Sales!$E4*(INDEX(Models!G:G,MATCH(Sales!$D4,Models!A:A,0)))</f>
        <v>40000</v>
      </c>
      <c r="G4" s="2">
        <f t="array" ref="G4">Sales!$E4*(INDEX(Models!H:H,MATCH(Sales!$D4,Models!A:A,0)))</f>
        <v>4000</v>
      </c>
    </row>
    <row r="5">
      <c r="A5" s="2">
        <v>4.0</v>
      </c>
      <c r="B5" s="3">
        <v>44614.0</v>
      </c>
      <c r="C5" s="2">
        <v>3.0</v>
      </c>
      <c r="D5" s="2">
        <v>8.0</v>
      </c>
      <c r="E5" s="2">
        <v>1.0</v>
      </c>
      <c r="F5" s="2">
        <f t="array" ref="F5">Sales!$E5*(INDEX(Models!G:G,MATCH(Sales!$D5,Models!A:A,0)))</f>
        <v>17000</v>
      </c>
      <c r="G5" s="2">
        <f t="array" ref="G5">Sales!$E5*(INDEX(Models!H:H,MATCH(Sales!$D5,Models!A:A,0)))</f>
        <v>1700</v>
      </c>
    </row>
    <row r="6">
      <c r="A6" s="2">
        <v>5.0</v>
      </c>
      <c r="B6" s="3">
        <v>44621.0</v>
      </c>
      <c r="C6" s="2">
        <v>7.0</v>
      </c>
      <c r="D6" s="2">
        <v>7.0</v>
      </c>
      <c r="E6" s="2">
        <v>3.0</v>
      </c>
      <c r="F6" s="2">
        <f t="array" ref="F6">Sales!$E6*(INDEX(Models!G:G,MATCH(Sales!$D6,Models!A:A,0)))</f>
        <v>66000</v>
      </c>
      <c r="G6" s="2">
        <f t="array" ref="G6">Sales!$E6*(INDEX(Models!H:H,MATCH(Sales!$D6,Models!A:A,0)))</f>
        <v>6600</v>
      </c>
    </row>
    <row r="7">
      <c r="A7" s="2">
        <v>6.0</v>
      </c>
      <c r="B7" s="3">
        <v>44628.0</v>
      </c>
      <c r="C7" s="2">
        <v>1.0</v>
      </c>
      <c r="D7" s="2">
        <v>6.0</v>
      </c>
      <c r="E7" s="2">
        <v>1.0</v>
      </c>
      <c r="F7" s="2">
        <f t="array" ref="F7">Sales!$E7*(INDEX(Models!G:G,MATCH(Sales!$D7,Models!A:A,0)))</f>
        <v>13000</v>
      </c>
      <c r="G7" s="2">
        <f t="array" ref="G7">Sales!$E7*(INDEX(Models!H:H,MATCH(Sales!$D7,Models!A:A,0)))</f>
        <v>1300</v>
      </c>
    </row>
    <row r="8">
      <c r="A8" s="2">
        <v>7.0</v>
      </c>
      <c r="B8" s="3">
        <v>44629.0</v>
      </c>
      <c r="C8" s="2">
        <v>10.0</v>
      </c>
      <c r="D8" s="2">
        <v>2.0</v>
      </c>
      <c r="E8" s="2">
        <v>2.0</v>
      </c>
      <c r="F8" s="2">
        <f t="array" ref="F8">Sales!$E8*(INDEX(Models!G:G,MATCH(Sales!$D8,Models!A:A,0)))</f>
        <v>30000</v>
      </c>
      <c r="G8" s="2">
        <f t="array" ref="G8">Sales!$E8*(INDEX(Models!H:H,MATCH(Sales!$D8,Models!A:A,0)))</f>
        <v>3000</v>
      </c>
    </row>
    <row r="9">
      <c r="A9" s="2">
        <v>8.0</v>
      </c>
      <c r="B9" s="3">
        <v>44630.0</v>
      </c>
      <c r="C9" s="2">
        <v>7.0</v>
      </c>
      <c r="D9" s="2">
        <v>8.0</v>
      </c>
      <c r="E9" s="2">
        <v>1.0</v>
      </c>
      <c r="F9" s="2">
        <f t="array" ref="F9">Sales!$E9*(INDEX(Models!G:G,MATCH(Sales!$D9,Models!A:A,0)))</f>
        <v>17000</v>
      </c>
      <c r="G9" s="2">
        <f t="array" ref="G9">Sales!$E9*(INDEX(Models!H:H,MATCH(Sales!$D9,Models!A:A,0)))</f>
        <v>1700</v>
      </c>
    </row>
    <row r="10">
      <c r="A10" s="2">
        <v>9.0</v>
      </c>
      <c r="B10" s="3">
        <v>44631.0</v>
      </c>
      <c r="C10" s="2">
        <v>8.0</v>
      </c>
      <c r="D10" s="2">
        <v>9.0</v>
      </c>
      <c r="E10" s="2">
        <v>1.0</v>
      </c>
      <c r="F10" s="2">
        <f t="array" ref="F10">Sales!$E10*(INDEX(Models!G:G,MATCH(Sales!$D10,Models!A:A,0)))</f>
        <v>40000</v>
      </c>
      <c r="G10" s="2">
        <f t="array" ref="G10">Sales!$E10*(INDEX(Models!H:H,MATCH(Sales!$D10,Models!A:A,0)))</f>
        <v>4000</v>
      </c>
    </row>
    <row r="11">
      <c r="A11" s="2">
        <v>10.0</v>
      </c>
      <c r="B11" s="3">
        <v>44632.0</v>
      </c>
      <c r="C11" s="2">
        <v>6.0</v>
      </c>
      <c r="D11" s="2">
        <v>9.0</v>
      </c>
      <c r="E11" s="4">
        <v>8.0</v>
      </c>
      <c r="F11" s="2">
        <f t="array" ref="F11">Sales!$E11*(INDEX(Models!G:G,MATCH(Sales!$D11,Models!A:A,0)))</f>
        <v>320000</v>
      </c>
      <c r="G11" s="2">
        <f t="array" ref="G11">Sales!$E11*(INDEX(Models!H:H,MATCH(Sales!$D11,Models!A:A,0)))</f>
        <v>32000</v>
      </c>
    </row>
    <row r="12">
      <c r="A12" s="2">
        <v>11.0</v>
      </c>
      <c r="B12" s="3">
        <v>44635.0</v>
      </c>
      <c r="C12" s="2">
        <v>5.0</v>
      </c>
      <c r="D12" s="2">
        <v>4.0</v>
      </c>
      <c r="E12" s="2">
        <v>1.0</v>
      </c>
      <c r="F12" s="2">
        <f t="array" ref="F12">Sales!$E12*(INDEX(Models!G:G,MATCH(Sales!$D12,Models!A:A,0)))</f>
        <v>35000</v>
      </c>
      <c r="G12" s="2">
        <f t="array" ref="G12">Sales!$E12*(INDEX(Models!H:H,MATCH(Sales!$D12,Models!A:A,0)))</f>
        <v>3500</v>
      </c>
    </row>
    <row r="13">
      <c r="A13" s="2">
        <v>12.0</v>
      </c>
      <c r="B13" s="3">
        <v>44636.0</v>
      </c>
      <c r="C13" s="2">
        <v>4.0</v>
      </c>
      <c r="D13" s="2">
        <v>11.0</v>
      </c>
      <c r="E13" s="2">
        <v>1.0</v>
      </c>
      <c r="F13" s="2">
        <f t="array" ref="F13">Sales!$E13*(INDEX(Models!G:G,MATCH(Sales!$D13,Models!A:A,0)))</f>
        <v>45000</v>
      </c>
      <c r="G13" s="2">
        <f t="array" ref="G13">Sales!$E13*(INDEX(Models!H:H,MATCH(Sales!$D13,Models!A:A,0)))</f>
        <v>9000</v>
      </c>
    </row>
    <row r="14">
      <c r="A14" s="2">
        <v>13.0</v>
      </c>
      <c r="B14" s="3">
        <v>44637.0</v>
      </c>
      <c r="C14" s="2">
        <v>5.0</v>
      </c>
      <c r="D14" s="2">
        <v>3.0</v>
      </c>
      <c r="E14" s="2">
        <v>2.0</v>
      </c>
      <c r="F14" s="2">
        <f t="array" ref="F14">Sales!$E14*(INDEX(Models!G:G,MATCH(Sales!$D14,Models!A:A,0)))</f>
        <v>60000</v>
      </c>
      <c r="G14" s="2">
        <f t="array" ref="G14">Sales!$E14*(INDEX(Models!H:H,MATCH(Sales!$D14,Models!A:A,0)))</f>
        <v>12000</v>
      </c>
    </row>
    <row r="15">
      <c r="A15" s="2">
        <v>14.0</v>
      </c>
      <c r="B15" s="3">
        <v>44638.0</v>
      </c>
      <c r="C15" s="2">
        <v>5.0</v>
      </c>
      <c r="D15" s="2">
        <v>6.0</v>
      </c>
      <c r="E15" s="2">
        <v>1.0</v>
      </c>
      <c r="F15" s="2">
        <f t="array" ref="F15">Sales!$E15*(INDEX(Models!G:G,MATCH(Sales!$D15,Models!A:A,0)))</f>
        <v>13000</v>
      </c>
      <c r="G15" s="2">
        <f t="array" ref="G15">Sales!$E15*(INDEX(Models!H:H,MATCH(Sales!$D15,Models!A:A,0)))</f>
        <v>1300</v>
      </c>
    </row>
    <row r="16">
      <c r="A16" s="2">
        <v>15.0</v>
      </c>
      <c r="B16" s="3">
        <v>44639.0</v>
      </c>
      <c r="C16" s="2">
        <v>8.0</v>
      </c>
      <c r="D16" s="2">
        <v>15.0</v>
      </c>
      <c r="E16" s="2">
        <v>2.0</v>
      </c>
      <c r="F16" s="2">
        <f t="array" ref="F16">Sales!$E16*(INDEX(Models!G:G,MATCH(Sales!$D16,Models!A:A,0)))</f>
        <v>90000</v>
      </c>
      <c r="G16" s="2">
        <f t="array" ref="G16">Sales!$E16*(INDEX(Models!H:H,MATCH(Sales!$D16,Models!A:A,0)))</f>
        <v>9000</v>
      </c>
    </row>
    <row r="17">
      <c r="A17" s="2">
        <v>16.0</v>
      </c>
      <c r="B17" s="3">
        <v>44642.0</v>
      </c>
      <c r="C17" s="2">
        <v>6.0</v>
      </c>
      <c r="D17" s="2">
        <v>5.0</v>
      </c>
      <c r="E17" s="4">
        <v>5.0</v>
      </c>
      <c r="F17" s="2">
        <f t="array" ref="F17">Sales!$E17*(INDEX(Models!G:G,MATCH(Sales!$D17,Models!A:A,0)))</f>
        <v>200000</v>
      </c>
      <c r="G17" s="2">
        <f t="array" ref="G17">Sales!$E17*(INDEX(Models!H:H,MATCH(Sales!$D17,Models!A:A,0)))</f>
        <v>20000</v>
      </c>
    </row>
    <row r="18">
      <c r="A18" s="2">
        <v>17.0</v>
      </c>
      <c r="B18" s="3">
        <v>44643.0</v>
      </c>
      <c r="C18" s="2">
        <v>4.0</v>
      </c>
      <c r="D18" s="2">
        <v>9.0</v>
      </c>
      <c r="E18" s="2">
        <v>1.0</v>
      </c>
      <c r="F18" s="2">
        <f t="array" ref="F18">Sales!$E18*(INDEX(Models!G:G,MATCH(Sales!$D18,Models!A:A,0)))</f>
        <v>40000</v>
      </c>
      <c r="G18" s="2">
        <f t="array" ref="G18">Sales!$E18*(INDEX(Models!H:H,MATCH(Sales!$D18,Models!A:A,0)))</f>
        <v>4000</v>
      </c>
    </row>
    <row r="19">
      <c r="A19" s="2">
        <v>18.0</v>
      </c>
      <c r="B19" s="3">
        <v>44644.0</v>
      </c>
      <c r="C19" s="2">
        <v>6.0</v>
      </c>
      <c r="D19" s="2">
        <v>8.0</v>
      </c>
      <c r="E19" s="2">
        <v>3.0</v>
      </c>
      <c r="F19" s="2">
        <f t="array" ref="F19">Sales!$E19*(INDEX(Models!G:G,MATCH(Sales!$D19,Models!A:A,0)))</f>
        <v>51000</v>
      </c>
      <c r="G19" s="2">
        <f t="array" ref="G19">Sales!$E19*(INDEX(Models!H:H,MATCH(Sales!$D19,Models!A:A,0)))</f>
        <v>5100</v>
      </c>
    </row>
    <row r="20">
      <c r="A20" s="2">
        <v>19.0</v>
      </c>
      <c r="B20" s="3">
        <v>44645.0</v>
      </c>
      <c r="C20" s="2">
        <v>8.0</v>
      </c>
      <c r="D20" s="2">
        <v>13.0</v>
      </c>
      <c r="E20" s="2">
        <v>1.0</v>
      </c>
      <c r="F20" s="2">
        <f t="array" ref="F20">Sales!$E20*(INDEX(Models!G:G,MATCH(Sales!$D20,Models!A:A,0)))</f>
        <v>14000</v>
      </c>
      <c r="G20" s="2">
        <f t="array" ref="G20">Sales!$E20*(INDEX(Models!H:H,MATCH(Sales!$D20,Models!A:A,0)))</f>
        <v>1400</v>
      </c>
    </row>
    <row r="21" ht="15.75" customHeight="1">
      <c r="A21" s="2">
        <v>20.0</v>
      </c>
      <c r="B21" s="3">
        <v>44646.0</v>
      </c>
      <c r="C21" s="2">
        <v>1.0</v>
      </c>
      <c r="D21" s="2">
        <v>15.0</v>
      </c>
      <c r="E21" s="2">
        <v>1.0</v>
      </c>
      <c r="F21" s="2">
        <f t="array" ref="F21">Sales!$E21*(INDEX(Models!G:G,MATCH(Sales!$D21,Models!A:A,0)))</f>
        <v>45000</v>
      </c>
      <c r="G21" s="2">
        <f t="array" ref="G21">Sales!$E21*(INDEX(Models!H:H,MATCH(Sales!$D21,Models!A:A,0)))</f>
        <v>4500</v>
      </c>
    </row>
    <row r="22" ht="15.75" customHeight="1">
      <c r="A22" s="2">
        <v>21.0</v>
      </c>
      <c r="B22" s="3">
        <v>44649.0</v>
      </c>
      <c r="C22" s="2">
        <v>1.0</v>
      </c>
      <c r="D22" s="2">
        <v>7.0</v>
      </c>
      <c r="E22" s="2">
        <v>2.0</v>
      </c>
      <c r="F22" s="2">
        <f t="array" ref="F22">Sales!$E22*(INDEX(Models!G:G,MATCH(Sales!$D22,Models!A:A,0)))</f>
        <v>44000</v>
      </c>
      <c r="G22" s="2">
        <f t="array" ref="G22">Sales!$E22*(INDEX(Models!H:H,MATCH(Sales!$D22,Models!A:A,0)))</f>
        <v>4400</v>
      </c>
    </row>
    <row r="23" ht="15.75" customHeight="1">
      <c r="A23" s="2">
        <v>22.0</v>
      </c>
      <c r="B23" s="3">
        <v>44650.0</v>
      </c>
      <c r="C23" s="2">
        <v>8.0</v>
      </c>
      <c r="D23" s="2">
        <v>1.0</v>
      </c>
      <c r="E23" s="2">
        <v>1.0</v>
      </c>
      <c r="F23" s="2">
        <f t="array" ref="F23">Sales!$E23*(INDEX(Models!G:G,MATCH(Sales!$D23,Models!A:A,0)))</f>
        <v>18000</v>
      </c>
      <c r="G23" s="2">
        <f t="array" ref="G23">Sales!$E23*(INDEX(Models!H:H,MATCH(Sales!$D23,Models!A:A,0)))</f>
        <v>1800</v>
      </c>
    </row>
    <row r="24" ht="15.75" customHeight="1">
      <c r="A24" s="2">
        <v>23.0</v>
      </c>
      <c r="B24" s="3">
        <v>44651.0</v>
      </c>
      <c r="C24" s="2">
        <v>7.0</v>
      </c>
      <c r="D24" s="2">
        <v>2.0</v>
      </c>
      <c r="E24" s="2">
        <v>3.0</v>
      </c>
      <c r="F24" s="2">
        <f t="array" ref="F24">Sales!$E24*(INDEX(Models!G:G,MATCH(Sales!$D24,Models!A:A,0)))</f>
        <v>45000</v>
      </c>
      <c r="G24" s="2">
        <f t="array" ref="G24">Sales!$E24*(INDEX(Models!H:H,MATCH(Sales!$D24,Models!A:A,0)))</f>
        <v>4500</v>
      </c>
    </row>
    <row r="25" ht="15.75" customHeight="1">
      <c r="A25" s="2">
        <v>24.0</v>
      </c>
      <c r="B25" s="3">
        <v>44652.0</v>
      </c>
      <c r="C25" s="2">
        <v>8.0</v>
      </c>
      <c r="D25" s="2">
        <v>2.0</v>
      </c>
      <c r="E25" s="2">
        <v>1.0</v>
      </c>
      <c r="F25" s="2">
        <f t="array" ref="F25">Sales!$E25*(INDEX(Models!G:G,MATCH(Sales!$D25,Models!A:A,0)))</f>
        <v>15000</v>
      </c>
      <c r="G25" s="2">
        <f t="array" ref="G25">Sales!$E25*(INDEX(Models!H:H,MATCH(Sales!$D25,Models!A:A,0)))</f>
        <v>1500</v>
      </c>
    </row>
    <row r="26" ht="15.75" customHeight="1">
      <c r="A26" s="2">
        <v>25.0</v>
      </c>
      <c r="B26" s="3">
        <v>44653.0</v>
      </c>
      <c r="C26" s="2">
        <v>4.0</v>
      </c>
      <c r="D26" s="2">
        <v>6.0</v>
      </c>
      <c r="E26" s="2">
        <v>2.0</v>
      </c>
      <c r="F26" s="2">
        <f t="array" ref="F26">Sales!$E26*(INDEX(Models!G:G,MATCH(Sales!$D26,Models!A:A,0)))</f>
        <v>26000</v>
      </c>
      <c r="G26" s="2">
        <f t="array" ref="G26">Sales!$E26*(INDEX(Models!H:H,MATCH(Sales!$D26,Models!A:A,0)))</f>
        <v>2600</v>
      </c>
    </row>
    <row r="27" ht="15.75" customHeight="1">
      <c r="A27" s="2">
        <v>26.0</v>
      </c>
      <c r="B27" s="3">
        <v>44656.0</v>
      </c>
      <c r="C27" s="2">
        <v>2.0</v>
      </c>
      <c r="D27" s="2">
        <v>14.0</v>
      </c>
      <c r="E27" s="2">
        <v>1.0</v>
      </c>
      <c r="F27" s="2">
        <f t="array" ref="F27">Sales!$E27*(INDEX(Models!G:G,MATCH(Sales!$D27,Models!A:A,0)))</f>
        <v>32000</v>
      </c>
      <c r="G27" s="2">
        <f t="array" ref="G27">Sales!$E27*(INDEX(Models!H:H,MATCH(Sales!$D27,Models!A:A,0)))</f>
        <v>6400</v>
      </c>
    </row>
    <row r="28" ht="15.75" customHeight="1">
      <c r="A28" s="2">
        <v>27.0</v>
      </c>
      <c r="B28" s="3">
        <v>44657.0</v>
      </c>
      <c r="C28" s="2">
        <v>1.0</v>
      </c>
      <c r="D28" s="2">
        <v>14.0</v>
      </c>
      <c r="E28" s="2">
        <v>1.0</v>
      </c>
      <c r="F28" s="2">
        <f t="array" ref="F28">Sales!$E28*(INDEX(Models!G:G,MATCH(Sales!$D28,Models!A:A,0)))</f>
        <v>32000</v>
      </c>
      <c r="G28" s="2">
        <f t="array" ref="G28">Sales!$E28*(INDEX(Models!H:H,MATCH(Sales!$D28,Models!A:A,0)))</f>
        <v>6400</v>
      </c>
    </row>
    <row r="29" ht="15.75" customHeight="1">
      <c r="A29" s="2">
        <v>28.0</v>
      </c>
      <c r="B29" s="3">
        <v>44658.0</v>
      </c>
      <c r="C29" s="2">
        <v>3.0</v>
      </c>
      <c r="D29" s="2">
        <v>6.0</v>
      </c>
      <c r="E29" s="2">
        <v>3.0</v>
      </c>
      <c r="F29" s="2">
        <f t="array" ref="F29">Sales!$E29*(INDEX(Models!G:G,MATCH(Sales!$D29,Models!A:A,0)))</f>
        <v>39000</v>
      </c>
      <c r="G29" s="2">
        <f t="array" ref="G29">Sales!$E29*(INDEX(Models!H:H,MATCH(Sales!$D29,Models!A:A,0)))</f>
        <v>3900</v>
      </c>
    </row>
    <row r="30" ht="15.75" customHeight="1">
      <c r="A30" s="2">
        <v>29.0</v>
      </c>
      <c r="B30" s="3">
        <v>44659.0</v>
      </c>
      <c r="C30" s="2">
        <v>7.0</v>
      </c>
      <c r="D30" s="2">
        <v>14.0</v>
      </c>
      <c r="E30" s="2">
        <v>1.0</v>
      </c>
      <c r="F30" s="2">
        <f t="array" ref="F30">Sales!$E30*(INDEX(Models!G:G,MATCH(Sales!$D30,Models!A:A,0)))</f>
        <v>32000</v>
      </c>
      <c r="G30" s="2">
        <f t="array" ref="G30">Sales!$E30*(INDEX(Models!H:H,MATCH(Sales!$D30,Models!A:A,0)))</f>
        <v>6400</v>
      </c>
    </row>
    <row r="31" ht="15.75" customHeight="1">
      <c r="A31" s="2">
        <v>30.0</v>
      </c>
      <c r="B31" s="3">
        <v>44660.0</v>
      </c>
      <c r="C31" s="2">
        <v>1.0</v>
      </c>
      <c r="D31" s="2">
        <v>2.0</v>
      </c>
      <c r="E31" s="2">
        <v>1.0</v>
      </c>
      <c r="F31" s="2">
        <f t="array" ref="F31">Sales!$E31*(INDEX(Models!G:G,MATCH(Sales!$D31,Models!A:A,0)))</f>
        <v>15000</v>
      </c>
      <c r="G31" s="2">
        <f t="array" ref="G31">Sales!$E31*(INDEX(Models!H:H,MATCH(Sales!$D31,Models!A:A,0)))</f>
        <v>1500</v>
      </c>
    </row>
    <row r="32" ht="15.75" customHeight="1">
      <c r="A32" s="2">
        <v>31.0</v>
      </c>
      <c r="B32" s="3">
        <v>44663.0</v>
      </c>
      <c r="C32" s="2">
        <v>3.0</v>
      </c>
      <c r="D32" s="2">
        <v>15.0</v>
      </c>
      <c r="E32" s="2">
        <v>2.0</v>
      </c>
      <c r="F32" s="2">
        <f t="array" ref="F32">Sales!$E32*(INDEX(Models!G:G,MATCH(Sales!$D32,Models!A:A,0)))</f>
        <v>90000</v>
      </c>
      <c r="G32" s="2">
        <f t="array" ref="G32">Sales!$E32*(INDEX(Models!H:H,MATCH(Sales!$D32,Models!A:A,0)))</f>
        <v>9000</v>
      </c>
    </row>
    <row r="33" ht="15.75" customHeight="1">
      <c r="A33" s="2">
        <v>32.0</v>
      </c>
      <c r="B33" s="3">
        <v>44664.0</v>
      </c>
      <c r="C33" s="2">
        <v>10.0</v>
      </c>
      <c r="D33" s="2">
        <v>2.0</v>
      </c>
      <c r="E33" s="2">
        <v>1.0</v>
      </c>
      <c r="F33" s="2">
        <f t="array" ref="F33">Sales!$E33*(INDEX(Models!G:G,MATCH(Sales!$D33,Models!A:A,0)))</f>
        <v>15000</v>
      </c>
      <c r="G33" s="2">
        <f t="array" ref="G33">Sales!$E33*(INDEX(Models!H:H,MATCH(Sales!$D33,Models!A:A,0)))</f>
        <v>1500</v>
      </c>
    </row>
    <row r="34" ht="15.75" customHeight="1">
      <c r="A34" s="2">
        <v>33.0</v>
      </c>
      <c r="B34" s="3">
        <v>44665.0</v>
      </c>
      <c r="C34" s="2">
        <v>2.0</v>
      </c>
      <c r="D34" s="2">
        <v>13.0</v>
      </c>
      <c r="E34" s="2">
        <v>3.0</v>
      </c>
      <c r="F34" s="2">
        <f t="array" ref="F34">Sales!$E34*(INDEX(Models!G:G,MATCH(Sales!$D34,Models!A:A,0)))</f>
        <v>42000</v>
      </c>
      <c r="G34" s="2">
        <f t="array" ref="G34">Sales!$E34*(INDEX(Models!H:H,MATCH(Sales!$D34,Models!A:A,0)))</f>
        <v>4200</v>
      </c>
    </row>
    <row r="35" ht="15.75" customHeight="1">
      <c r="A35" s="2">
        <v>34.0</v>
      </c>
      <c r="B35" s="3">
        <v>44666.0</v>
      </c>
      <c r="C35" s="2">
        <v>9.0</v>
      </c>
      <c r="D35" s="2">
        <v>6.0</v>
      </c>
      <c r="E35" s="2">
        <v>1.0</v>
      </c>
      <c r="F35" s="2">
        <f t="array" ref="F35">Sales!$E35*(INDEX(Models!G:G,MATCH(Sales!$D35,Models!A:A,0)))</f>
        <v>13000</v>
      </c>
      <c r="G35" s="2">
        <f t="array" ref="G35">Sales!$E35*(INDEX(Models!H:H,MATCH(Sales!$D35,Models!A:A,0)))</f>
        <v>1300</v>
      </c>
    </row>
    <row r="36" ht="15.75" customHeight="1">
      <c r="A36" s="2">
        <v>35.0</v>
      </c>
      <c r="B36" s="3">
        <v>44667.0</v>
      </c>
      <c r="C36" s="2">
        <v>3.0</v>
      </c>
      <c r="D36" s="2">
        <v>12.0</v>
      </c>
      <c r="E36" s="2">
        <v>2.0</v>
      </c>
      <c r="F36" s="2">
        <f t="array" ref="F36">Sales!$E36*(INDEX(Models!G:G,MATCH(Sales!$D36,Models!A:A,0)))</f>
        <v>40000</v>
      </c>
      <c r="G36" s="2">
        <f t="array" ref="G36">Sales!$E36*(INDEX(Models!H:H,MATCH(Sales!$D36,Models!A:A,0)))</f>
        <v>4000</v>
      </c>
    </row>
    <row r="37" ht="15.75" customHeight="1">
      <c r="A37" s="2">
        <v>36.0</v>
      </c>
      <c r="B37" s="3">
        <v>44670.0</v>
      </c>
      <c r="C37" s="2">
        <v>3.0</v>
      </c>
      <c r="D37" s="2">
        <v>8.0</v>
      </c>
      <c r="E37" s="2">
        <v>1.0</v>
      </c>
      <c r="F37" s="2">
        <f t="array" ref="F37">Sales!$E37*(INDEX(Models!G:G,MATCH(Sales!$D37,Models!A:A,0)))</f>
        <v>17000</v>
      </c>
      <c r="G37" s="2">
        <f t="array" ref="G37">Sales!$E37*(INDEX(Models!H:H,MATCH(Sales!$D37,Models!A:A,0)))</f>
        <v>1700</v>
      </c>
    </row>
    <row r="38" ht="15.75" customHeight="1">
      <c r="A38" s="2">
        <v>37.0</v>
      </c>
      <c r="B38" s="3">
        <v>44671.0</v>
      </c>
      <c r="C38" s="2">
        <v>9.0</v>
      </c>
      <c r="D38" s="2">
        <v>4.0</v>
      </c>
      <c r="E38" s="2">
        <v>1.0</v>
      </c>
      <c r="F38" s="2">
        <f t="array" ref="F38">Sales!$E38*(INDEX(Models!G:G,MATCH(Sales!$D38,Models!A:A,0)))</f>
        <v>35000</v>
      </c>
      <c r="G38" s="2">
        <f t="array" ref="G38">Sales!$E38*(INDEX(Models!H:H,MATCH(Sales!$D38,Models!A:A,0)))</f>
        <v>3500</v>
      </c>
    </row>
    <row r="39" ht="15.75" customHeight="1">
      <c r="A39" s="2">
        <v>38.0</v>
      </c>
      <c r="B39" s="3">
        <v>44672.0</v>
      </c>
      <c r="C39" s="2">
        <v>7.0</v>
      </c>
      <c r="D39" s="2">
        <v>4.0</v>
      </c>
      <c r="E39" s="2">
        <v>3.0</v>
      </c>
      <c r="F39" s="2">
        <f t="array" ref="F39">Sales!$E39*(INDEX(Models!G:G,MATCH(Sales!$D39,Models!A:A,0)))</f>
        <v>105000</v>
      </c>
      <c r="G39" s="2">
        <f t="array" ref="G39">Sales!$E39*(INDEX(Models!H:H,MATCH(Sales!$D39,Models!A:A,0)))</f>
        <v>10500</v>
      </c>
    </row>
    <row r="40" ht="15.75" customHeight="1">
      <c r="A40" s="2">
        <v>39.0</v>
      </c>
      <c r="B40" s="3">
        <v>44673.0</v>
      </c>
      <c r="C40" s="2">
        <v>5.0</v>
      </c>
      <c r="D40" s="2">
        <v>14.0</v>
      </c>
      <c r="E40" s="2">
        <v>1.0</v>
      </c>
      <c r="F40" s="2">
        <f t="array" ref="F40">Sales!$E40*(INDEX(Models!G:G,MATCH(Sales!$D40,Models!A:A,0)))</f>
        <v>32000</v>
      </c>
      <c r="G40" s="2">
        <f t="array" ref="G40">Sales!$E40*(INDEX(Models!H:H,MATCH(Sales!$D40,Models!A:A,0)))</f>
        <v>6400</v>
      </c>
    </row>
    <row r="41" ht="15.75" customHeight="1">
      <c r="A41" s="2">
        <v>40.0</v>
      </c>
      <c r="B41" s="3">
        <v>44674.0</v>
      </c>
      <c r="C41" s="2">
        <v>9.0</v>
      </c>
      <c r="D41" s="2">
        <v>10.0</v>
      </c>
      <c r="E41" s="2">
        <v>1.0</v>
      </c>
      <c r="F41" s="2">
        <f t="array" ref="F41">Sales!$E41*(INDEX(Models!G:G,MATCH(Sales!$D41,Models!A:A,0)))</f>
        <v>12000</v>
      </c>
      <c r="G41" s="2">
        <f t="array" ref="G41">Sales!$E41*(INDEX(Models!H:H,MATCH(Sales!$D41,Models!A:A,0)))</f>
        <v>1200</v>
      </c>
    </row>
    <row r="42" ht="15.75" customHeight="1">
      <c r="A42" s="2">
        <v>41.0</v>
      </c>
      <c r="B42" s="3">
        <v>44677.0</v>
      </c>
      <c r="C42" s="2">
        <v>2.0</v>
      </c>
      <c r="D42" s="2">
        <v>8.0</v>
      </c>
      <c r="E42" s="2">
        <v>2.0</v>
      </c>
      <c r="F42" s="2">
        <f t="array" ref="F42">Sales!$E42*(INDEX(Models!G:G,MATCH(Sales!$D42,Models!A:A,0)))</f>
        <v>34000</v>
      </c>
      <c r="G42" s="2">
        <f t="array" ref="G42">Sales!$E42*(INDEX(Models!H:H,MATCH(Sales!$D42,Models!A:A,0)))</f>
        <v>3400</v>
      </c>
    </row>
    <row r="43" ht="15.75" customHeight="1">
      <c r="A43" s="2">
        <v>42.0</v>
      </c>
      <c r="B43" s="3">
        <v>44678.0</v>
      </c>
      <c r="C43" s="2">
        <v>5.0</v>
      </c>
      <c r="D43" s="2">
        <v>4.0</v>
      </c>
      <c r="E43" s="2">
        <v>1.0</v>
      </c>
      <c r="F43" s="2">
        <f t="array" ref="F43">Sales!$E43*(INDEX(Models!G:G,MATCH(Sales!$D43,Models!A:A,0)))</f>
        <v>35000</v>
      </c>
      <c r="G43" s="2">
        <f t="array" ref="G43">Sales!$E43*(INDEX(Models!H:H,MATCH(Sales!$D43,Models!A:A,0)))</f>
        <v>3500</v>
      </c>
    </row>
    <row r="44" ht="15.75" customHeight="1">
      <c r="A44" s="2">
        <v>43.0</v>
      </c>
      <c r="B44" s="3">
        <v>44679.0</v>
      </c>
      <c r="C44" s="2">
        <v>2.0</v>
      </c>
      <c r="D44" s="2">
        <v>5.0</v>
      </c>
      <c r="E44" s="2">
        <v>3.0</v>
      </c>
      <c r="F44" s="2">
        <f t="array" ref="F44">Sales!$E44*(INDEX(Models!G:G,MATCH(Sales!$D44,Models!A:A,0)))</f>
        <v>120000</v>
      </c>
      <c r="G44" s="2">
        <f t="array" ref="G44">Sales!$E44*(INDEX(Models!H:H,MATCH(Sales!$D44,Models!A:A,0)))</f>
        <v>12000</v>
      </c>
    </row>
    <row r="45" ht="15.75" customHeight="1">
      <c r="A45" s="2">
        <v>44.0</v>
      </c>
      <c r="B45" s="3">
        <v>44680.0</v>
      </c>
      <c r="C45" s="2">
        <v>7.0</v>
      </c>
      <c r="D45" s="2">
        <v>11.0</v>
      </c>
      <c r="E45" s="2">
        <v>1.0</v>
      </c>
      <c r="F45" s="2">
        <f t="array" ref="F45">Sales!$E45*(INDEX(Models!G:G,MATCH(Sales!$D45,Models!A:A,0)))</f>
        <v>45000</v>
      </c>
      <c r="G45" s="2">
        <f t="array" ref="G45">Sales!$E45*(INDEX(Models!H:H,MATCH(Sales!$D45,Models!A:A,0)))</f>
        <v>9000</v>
      </c>
    </row>
    <row r="46" ht="15.75" customHeight="1">
      <c r="A46" s="2">
        <v>45.0</v>
      </c>
      <c r="B46" s="3">
        <v>44681.0</v>
      </c>
      <c r="C46" s="2">
        <v>4.0</v>
      </c>
      <c r="D46" s="2">
        <v>10.0</v>
      </c>
      <c r="E46" s="2">
        <v>2.0</v>
      </c>
      <c r="F46" s="2">
        <f t="array" ref="F46">Sales!$E46*(INDEX(Models!G:G,MATCH(Sales!$D46,Models!A:A,0)))</f>
        <v>24000</v>
      </c>
      <c r="G46" s="2">
        <f t="array" ref="G46">Sales!$E46*(INDEX(Models!H:H,MATCH(Sales!$D46,Models!A:A,0)))</f>
        <v>2400</v>
      </c>
    </row>
    <row r="47" ht="15.75" customHeight="1">
      <c r="A47" s="2">
        <v>46.0</v>
      </c>
      <c r="B47" s="3">
        <v>44684.0</v>
      </c>
      <c r="C47" s="2">
        <v>4.0</v>
      </c>
      <c r="D47" s="2">
        <v>11.0</v>
      </c>
      <c r="E47" s="2">
        <v>1.0</v>
      </c>
      <c r="F47" s="2">
        <f t="array" ref="F47">Sales!$E47*(INDEX(Models!G:G,MATCH(Sales!$D47,Models!A:A,0)))</f>
        <v>45000</v>
      </c>
      <c r="G47" s="2">
        <f t="array" ref="G47">Sales!$E47*(INDEX(Models!H:H,MATCH(Sales!$D47,Models!A:A,0)))</f>
        <v>9000</v>
      </c>
    </row>
    <row r="48" ht="15.75" customHeight="1">
      <c r="A48" s="2">
        <v>47.0</v>
      </c>
      <c r="B48" s="3">
        <v>44685.0</v>
      </c>
      <c r="C48" s="2">
        <v>10.0</v>
      </c>
      <c r="D48" s="2">
        <v>9.0</v>
      </c>
      <c r="E48" s="2">
        <v>1.0</v>
      </c>
      <c r="F48" s="2">
        <f t="array" ref="F48">Sales!$E48*(INDEX(Models!G:G,MATCH(Sales!$D48,Models!A:A,0)))</f>
        <v>40000</v>
      </c>
      <c r="G48" s="2">
        <f t="array" ref="G48">Sales!$E48*(INDEX(Models!H:H,MATCH(Sales!$D48,Models!A:A,0)))</f>
        <v>4000</v>
      </c>
    </row>
    <row r="49" ht="15.75" customHeight="1">
      <c r="A49" s="2">
        <v>48.0</v>
      </c>
      <c r="B49" s="3">
        <v>44686.0</v>
      </c>
      <c r="C49" s="2">
        <v>9.0</v>
      </c>
      <c r="D49" s="2">
        <v>9.0</v>
      </c>
      <c r="E49" s="2">
        <v>3.0</v>
      </c>
      <c r="F49" s="2">
        <f t="array" ref="F49">Sales!$E49*(INDEX(Models!G:G,MATCH(Sales!$D49,Models!A:A,0)))</f>
        <v>120000</v>
      </c>
      <c r="G49" s="2">
        <f t="array" ref="G49">Sales!$E49*(INDEX(Models!H:H,MATCH(Sales!$D49,Models!A:A,0)))</f>
        <v>12000</v>
      </c>
    </row>
    <row r="50" ht="15.75" customHeight="1">
      <c r="A50" s="2">
        <v>49.0</v>
      </c>
      <c r="B50" s="3">
        <v>44687.0</v>
      </c>
      <c r="C50" s="2">
        <v>3.0</v>
      </c>
      <c r="D50" s="2">
        <v>6.0</v>
      </c>
      <c r="E50" s="2">
        <v>1.0</v>
      </c>
      <c r="F50" s="2">
        <f t="array" ref="F50">Sales!$E50*(INDEX(Models!G:G,MATCH(Sales!$D50,Models!A:A,0)))</f>
        <v>13000</v>
      </c>
      <c r="G50" s="2">
        <f t="array" ref="G50">Sales!$E50*(INDEX(Models!H:H,MATCH(Sales!$D50,Models!A:A,0)))</f>
        <v>1300</v>
      </c>
    </row>
    <row r="51" ht="15.75" customHeight="1">
      <c r="A51" s="2">
        <v>50.0</v>
      </c>
      <c r="B51" s="3">
        <v>44688.0</v>
      </c>
      <c r="C51" s="2">
        <v>4.0</v>
      </c>
      <c r="D51" s="2">
        <v>2.0</v>
      </c>
      <c r="E51" s="2">
        <v>1.0</v>
      </c>
      <c r="F51" s="2">
        <f t="array" ref="F51">Sales!$E51*(INDEX(Models!G:G,MATCH(Sales!$D51,Models!A:A,0)))</f>
        <v>15000</v>
      </c>
      <c r="G51" s="2">
        <f t="array" ref="G51">Sales!$E51*(INDEX(Models!H:H,MATCH(Sales!$D51,Models!A:A,0)))</f>
        <v>1500</v>
      </c>
    </row>
    <row r="52" ht="15.75" customHeight="1">
      <c r="A52" s="2">
        <v>51.0</v>
      </c>
      <c r="B52" s="3">
        <v>44691.0</v>
      </c>
      <c r="C52" s="2">
        <v>1.0</v>
      </c>
      <c r="D52" s="2">
        <v>1.0</v>
      </c>
      <c r="E52" s="2">
        <v>2.0</v>
      </c>
      <c r="F52" s="2">
        <f t="array" ref="F52">Sales!$E52*(INDEX(Models!G:G,MATCH(Sales!$D52,Models!A:A,0)))</f>
        <v>36000</v>
      </c>
      <c r="G52" s="2">
        <f t="array" ref="G52">Sales!$E52*(INDEX(Models!H:H,MATCH(Sales!$D52,Models!A:A,0)))</f>
        <v>3600</v>
      </c>
    </row>
    <row r="53" ht="15.75" customHeight="1">
      <c r="A53" s="2">
        <v>52.0</v>
      </c>
      <c r="B53" s="3">
        <v>44692.0</v>
      </c>
      <c r="C53" s="2">
        <v>7.0</v>
      </c>
      <c r="D53" s="2">
        <v>8.0</v>
      </c>
      <c r="E53" s="2">
        <v>1.0</v>
      </c>
      <c r="F53" s="2">
        <f t="array" ref="F53">Sales!$E53*(INDEX(Models!G:G,MATCH(Sales!$D53,Models!A:A,0)))</f>
        <v>17000</v>
      </c>
      <c r="G53" s="2">
        <f t="array" ref="G53">Sales!$E53*(INDEX(Models!H:H,MATCH(Sales!$D53,Models!A:A,0)))</f>
        <v>1700</v>
      </c>
    </row>
    <row r="54" ht="15.75" customHeight="1">
      <c r="A54" s="2">
        <v>53.0</v>
      </c>
      <c r="B54" s="3">
        <v>44693.0</v>
      </c>
      <c r="C54" s="2">
        <v>10.0</v>
      </c>
      <c r="D54" s="2">
        <v>14.0</v>
      </c>
      <c r="E54" s="2">
        <v>3.0</v>
      </c>
      <c r="F54" s="2">
        <f t="array" ref="F54">Sales!$E54*(INDEX(Models!G:G,MATCH(Sales!$D54,Models!A:A,0)))</f>
        <v>96000</v>
      </c>
      <c r="G54" s="2">
        <f t="array" ref="G54">Sales!$E54*(INDEX(Models!H:H,MATCH(Sales!$D54,Models!A:A,0)))</f>
        <v>19200</v>
      </c>
    </row>
    <row r="55" ht="15.75" customHeight="1">
      <c r="A55" s="2">
        <v>54.0</v>
      </c>
      <c r="B55" s="3">
        <v>44694.0</v>
      </c>
      <c r="C55" s="2">
        <v>6.0</v>
      </c>
      <c r="D55" s="2">
        <v>3.0</v>
      </c>
      <c r="E55" s="2">
        <v>1.0</v>
      </c>
      <c r="F55" s="2">
        <f t="array" ref="F55">Sales!$E55*(INDEX(Models!G:G,MATCH(Sales!$D55,Models!A:A,0)))</f>
        <v>30000</v>
      </c>
      <c r="G55" s="2">
        <f t="array" ref="G55">Sales!$E55*(INDEX(Models!H:H,MATCH(Sales!$D55,Models!A:A,0)))</f>
        <v>6000</v>
      </c>
    </row>
    <row r="56" ht="15.75" customHeight="1">
      <c r="A56" s="2">
        <v>55.0</v>
      </c>
      <c r="B56" s="3">
        <v>44695.0</v>
      </c>
      <c r="C56" s="2">
        <v>8.0</v>
      </c>
      <c r="D56" s="2">
        <v>2.0</v>
      </c>
      <c r="E56" s="2">
        <v>2.0</v>
      </c>
      <c r="F56" s="2">
        <f t="array" ref="F56">Sales!$E56*(INDEX(Models!G:G,MATCH(Sales!$D56,Models!A:A,0)))</f>
        <v>30000</v>
      </c>
      <c r="G56" s="2">
        <f t="array" ref="G56">Sales!$E56*(INDEX(Models!H:H,MATCH(Sales!$D56,Models!A:A,0)))</f>
        <v>3000</v>
      </c>
    </row>
    <row r="57" ht="15.75" customHeight="1">
      <c r="A57" s="2">
        <v>56.0</v>
      </c>
      <c r="B57" s="3">
        <v>44698.0</v>
      </c>
      <c r="C57" s="2">
        <v>8.0</v>
      </c>
      <c r="D57" s="2">
        <v>3.0</v>
      </c>
      <c r="E57" s="2">
        <v>1.0</v>
      </c>
      <c r="F57" s="2">
        <f t="array" ref="F57">Sales!$E57*(INDEX(Models!G:G,MATCH(Sales!$D57,Models!A:A,0)))</f>
        <v>30000</v>
      </c>
      <c r="G57" s="2">
        <f t="array" ref="G57">Sales!$E57*(INDEX(Models!H:H,MATCH(Sales!$D57,Models!A:A,0)))</f>
        <v>6000</v>
      </c>
    </row>
    <row r="58" ht="15.75" customHeight="1">
      <c r="A58" s="2">
        <v>57.0</v>
      </c>
      <c r="B58" s="3">
        <v>44699.0</v>
      </c>
      <c r="C58" s="2">
        <v>9.0</v>
      </c>
      <c r="D58" s="2">
        <v>6.0</v>
      </c>
      <c r="E58" s="2">
        <v>1.0</v>
      </c>
      <c r="F58" s="2">
        <f t="array" ref="F58">Sales!$E58*(INDEX(Models!G:G,MATCH(Sales!$D58,Models!A:A,0)))</f>
        <v>13000</v>
      </c>
      <c r="G58" s="2">
        <f t="array" ref="G58">Sales!$E58*(INDEX(Models!H:H,MATCH(Sales!$D58,Models!A:A,0)))</f>
        <v>1300</v>
      </c>
    </row>
    <row r="59" ht="15.75" customHeight="1">
      <c r="A59" s="2">
        <v>58.0</v>
      </c>
      <c r="B59" s="3">
        <v>44700.0</v>
      </c>
      <c r="C59" s="2">
        <v>10.0</v>
      </c>
      <c r="D59" s="2">
        <v>7.0</v>
      </c>
      <c r="E59" s="2">
        <v>3.0</v>
      </c>
      <c r="F59" s="2">
        <f t="array" ref="F59">Sales!$E59*(INDEX(Models!G:G,MATCH(Sales!$D59,Models!A:A,0)))</f>
        <v>66000</v>
      </c>
      <c r="G59" s="2">
        <f t="array" ref="G59">Sales!$E59*(INDEX(Models!H:H,MATCH(Sales!$D59,Models!A:A,0)))</f>
        <v>6600</v>
      </c>
    </row>
    <row r="60" ht="15.75" customHeight="1">
      <c r="A60" s="2">
        <v>59.0</v>
      </c>
      <c r="B60" s="3">
        <v>44701.0</v>
      </c>
      <c r="C60" s="2">
        <v>10.0</v>
      </c>
      <c r="D60" s="2">
        <v>6.0</v>
      </c>
      <c r="E60" s="2">
        <v>1.0</v>
      </c>
      <c r="F60" s="2">
        <f t="array" ref="F60">Sales!$E60*(INDEX(Models!G:G,MATCH(Sales!$D60,Models!A:A,0)))</f>
        <v>13000</v>
      </c>
      <c r="G60" s="2">
        <f t="array" ref="G60">Sales!$E60*(INDEX(Models!H:H,MATCH(Sales!$D60,Models!A:A,0)))</f>
        <v>1300</v>
      </c>
    </row>
    <row r="61" ht="15.75" customHeight="1">
      <c r="A61" s="2">
        <v>60.0</v>
      </c>
      <c r="B61" s="3">
        <v>44702.0</v>
      </c>
      <c r="C61" s="2">
        <v>7.0</v>
      </c>
      <c r="D61" s="2">
        <v>2.0</v>
      </c>
      <c r="E61" s="2">
        <v>1.0</v>
      </c>
      <c r="F61" s="2">
        <f t="array" ref="F61">Sales!$E61*(INDEX(Models!G:G,MATCH(Sales!$D61,Models!A:A,0)))</f>
        <v>15000</v>
      </c>
      <c r="G61" s="2">
        <f t="array" ref="G61">Sales!$E61*(INDEX(Models!H:H,MATCH(Sales!$D61,Models!A:A,0)))</f>
        <v>1500</v>
      </c>
    </row>
    <row r="62" ht="15.75" customHeight="1">
      <c r="A62" s="2">
        <v>61.0</v>
      </c>
      <c r="B62" s="3">
        <v>44705.0</v>
      </c>
      <c r="C62" s="2">
        <v>5.0</v>
      </c>
      <c r="D62" s="2">
        <v>7.0</v>
      </c>
      <c r="E62" s="2">
        <v>2.0</v>
      </c>
      <c r="F62" s="2">
        <f t="array" ref="F62">Sales!$E62*(INDEX(Models!G:G,MATCH(Sales!$D62,Models!A:A,0)))</f>
        <v>44000</v>
      </c>
      <c r="G62" s="2">
        <f t="array" ref="G62">Sales!$E62*(INDEX(Models!H:H,MATCH(Sales!$D62,Models!A:A,0)))</f>
        <v>4400</v>
      </c>
    </row>
    <row r="63" ht="15.75" customHeight="1">
      <c r="A63" s="2">
        <v>62.0</v>
      </c>
      <c r="B63" s="3">
        <v>44706.0</v>
      </c>
      <c r="C63" s="2">
        <v>9.0</v>
      </c>
      <c r="D63" s="2">
        <v>1.0</v>
      </c>
      <c r="E63" s="2">
        <v>1.0</v>
      </c>
      <c r="F63" s="2">
        <f t="array" ref="F63">Sales!$E63*(INDEX(Models!G:G,MATCH(Sales!$D63,Models!A:A,0)))</f>
        <v>18000</v>
      </c>
      <c r="G63" s="2">
        <f t="array" ref="G63">Sales!$E63*(INDEX(Models!H:H,MATCH(Sales!$D63,Models!A:A,0)))</f>
        <v>1800</v>
      </c>
    </row>
    <row r="64" ht="15.75" customHeight="1">
      <c r="A64" s="2">
        <v>63.0</v>
      </c>
      <c r="B64" s="3">
        <v>44707.0</v>
      </c>
      <c r="C64" s="2">
        <v>3.0</v>
      </c>
      <c r="D64" s="2">
        <v>7.0</v>
      </c>
      <c r="E64" s="2">
        <v>3.0</v>
      </c>
      <c r="F64" s="2">
        <f t="array" ref="F64">Sales!$E64*(INDEX(Models!G:G,MATCH(Sales!$D64,Models!A:A,0)))</f>
        <v>66000</v>
      </c>
      <c r="G64" s="2">
        <f t="array" ref="G64">Sales!$E64*(INDEX(Models!H:H,MATCH(Sales!$D64,Models!A:A,0)))</f>
        <v>6600</v>
      </c>
    </row>
    <row r="65" ht="15.75" customHeight="1">
      <c r="A65" s="2">
        <v>64.0</v>
      </c>
      <c r="B65" s="3">
        <v>44708.0</v>
      </c>
      <c r="C65" s="2">
        <v>10.0</v>
      </c>
      <c r="D65" s="2">
        <v>15.0</v>
      </c>
      <c r="E65" s="2">
        <v>1.0</v>
      </c>
      <c r="F65" s="2">
        <f t="array" ref="F65">Sales!$E65*(INDEX(Models!G:G,MATCH(Sales!$D65,Models!A:A,0)))</f>
        <v>45000</v>
      </c>
      <c r="G65" s="2">
        <f t="array" ref="G65">Sales!$E65*(INDEX(Models!H:H,MATCH(Sales!$D65,Models!A:A,0)))</f>
        <v>4500</v>
      </c>
    </row>
    <row r="66" ht="15.75" customHeight="1">
      <c r="A66" s="2">
        <v>65.0</v>
      </c>
      <c r="B66" s="3">
        <v>44709.0</v>
      </c>
      <c r="C66" s="2">
        <v>3.0</v>
      </c>
      <c r="D66" s="2">
        <v>2.0</v>
      </c>
      <c r="E66" s="2">
        <v>2.0</v>
      </c>
      <c r="F66" s="2">
        <f t="array" ref="F66">Sales!$E66*(INDEX(Models!G:G,MATCH(Sales!$D66,Models!A:A,0)))</f>
        <v>30000</v>
      </c>
      <c r="G66" s="2">
        <f t="array" ref="G66">Sales!$E66*(INDEX(Models!H:H,MATCH(Sales!$D66,Models!A:A,0)))</f>
        <v>3000</v>
      </c>
    </row>
    <row r="67" ht="15.75" customHeight="1">
      <c r="A67" s="2">
        <v>66.0</v>
      </c>
      <c r="B67" s="3">
        <v>44712.0</v>
      </c>
      <c r="C67" s="2">
        <v>5.0</v>
      </c>
      <c r="D67" s="2">
        <v>2.0</v>
      </c>
      <c r="E67" s="2">
        <v>1.0</v>
      </c>
      <c r="F67" s="2">
        <f t="array" ref="F67">Sales!$E67*(INDEX(Models!G:G,MATCH(Sales!$D67,Models!A:A,0)))</f>
        <v>15000</v>
      </c>
      <c r="G67" s="2">
        <f t="array" ref="G67">Sales!$E67*(INDEX(Models!H:H,MATCH(Sales!$D67,Models!A:A,0)))</f>
        <v>1500</v>
      </c>
    </row>
    <row r="68" ht="15.75" customHeight="1">
      <c r="A68" s="2">
        <v>67.0</v>
      </c>
      <c r="B68" s="3">
        <v>44713.0</v>
      </c>
      <c r="C68" s="2">
        <v>7.0</v>
      </c>
      <c r="D68" s="2">
        <v>7.0</v>
      </c>
      <c r="E68" s="2">
        <v>1.0</v>
      </c>
      <c r="F68" s="2">
        <f t="array" ref="F68">Sales!$E68*(INDEX(Models!G:G,MATCH(Sales!$D68,Models!A:A,0)))</f>
        <v>22000</v>
      </c>
      <c r="G68" s="2">
        <f t="array" ref="G68">Sales!$E68*(INDEX(Models!H:H,MATCH(Sales!$D68,Models!A:A,0)))</f>
        <v>2200</v>
      </c>
    </row>
    <row r="69" ht="15.75" customHeight="1">
      <c r="A69" s="2">
        <v>68.0</v>
      </c>
      <c r="B69" s="3">
        <v>44714.0</v>
      </c>
      <c r="C69" s="2">
        <v>5.0</v>
      </c>
      <c r="D69" s="2">
        <v>3.0</v>
      </c>
      <c r="E69" s="2">
        <v>3.0</v>
      </c>
      <c r="F69" s="2">
        <f t="array" ref="F69">Sales!$E69*(INDEX(Models!G:G,MATCH(Sales!$D69,Models!A:A,0)))</f>
        <v>90000</v>
      </c>
      <c r="G69" s="2">
        <f t="array" ref="G69">Sales!$E69*(INDEX(Models!H:H,MATCH(Sales!$D69,Models!A:A,0)))</f>
        <v>18000</v>
      </c>
    </row>
    <row r="70" ht="15.75" customHeight="1">
      <c r="A70" s="2">
        <v>69.0</v>
      </c>
      <c r="B70" s="3">
        <v>44715.0</v>
      </c>
      <c r="C70" s="2">
        <v>6.0</v>
      </c>
      <c r="D70" s="2">
        <v>12.0</v>
      </c>
      <c r="E70" s="2">
        <v>1.0</v>
      </c>
      <c r="F70" s="2">
        <f t="array" ref="F70">Sales!$E70*(INDEX(Models!G:G,MATCH(Sales!$D70,Models!A:A,0)))</f>
        <v>20000</v>
      </c>
      <c r="G70" s="2">
        <f t="array" ref="G70">Sales!$E70*(INDEX(Models!H:H,MATCH(Sales!$D70,Models!A:A,0)))</f>
        <v>2000</v>
      </c>
    </row>
    <row r="71" ht="15.75" customHeight="1">
      <c r="A71" s="2">
        <v>70.0</v>
      </c>
      <c r="B71" s="3">
        <v>44716.0</v>
      </c>
      <c r="C71" s="2">
        <v>4.0</v>
      </c>
      <c r="D71" s="2">
        <v>4.0</v>
      </c>
      <c r="E71" s="2">
        <v>1.0</v>
      </c>
      <c r="F71" s="2">
        <f t="array" ref="F71">Sales!$E71*(INDEX(Models!G:G,MATCH(Sales!$D71,Models!A:A,0)))</f>
        <v>35000</v>
      </c>
      <c r="G71" s="2">
        <f t="array" ref="G71">Sales!$E71*(INDEX(Models!H:H,MATCH(Sales!$D71,Models!A:A,0)))</f>
        <v>3500</v>
      </c>
    </row>
    <row r="72" ht="15.75" customHeight="1">
      <c r="A72" s="2">
        <v>71.0</v>
      </c>
      <c r="B72" s="3">
        <v>44719.0</v>
      </c>
      <c r="C72" s="2">
        <v>5.0</v>
      </c>
      <c r="D72" s="2">
        <v>4.0</v>
      </c>
      <c r="E72" s="2">
        <v>2.0</v>
      </c>
      <c r="F72" s="2">
        <f t="array" ref="F72">Sales!$E72*(INDEX(Models!G:G,MATCH(Sales!$D72,Models!A:A,0)))</f>
        <v>70000</v>
      </c>
      <c r="G72" s="2">
        <f t="array" ref="G72">Sales!$E72*(INDEX(Models!H:H,MATCH(Sales!$D72,Models!A:A,0)))</f>
        <v>7000</v>
      </c>
    </row>
    <row r="73" ht="15.75" customHeight="1">
      <c r="A73" s="2">
        <v>72.0</v>
      </c>
      <c r="B73" s="3">
        <v>44720.0</v>
      </c>
      <c r="C73" s="2">
        <v>8.0</v>
      </c>
      <c r="D73" s="2">
        <v>5.0</v>
      </c>
      <c r="E73" s="2">
        <v>1.0</v>
      </c>
      <c r="F73" s="2">
        <f t="array" ref="F73">Sales!$E73*(INDEX(Models!G:G,MATCH(Sales!$D73,Models!A:A,0)))</f>
        <v>40000</v>
      </c>
      <c r="G73" s="2">
        <f t="array" ref="G73">Sales!$E73*(INDEX(Models!H:H,MATCH(Sales!$D73,Models!A:A,0)))</f>
        <v>4000</v>
      </c>
    </row>
    <row r="74" ht="15.75" customHeight="1">
      <c r="A74" s="2">
        <v>73.0</v>
      </c>
      <c r="B74" s="3">
        <v>44721.0</v>
      </c>
      <c r="C74" s="2">
        <v>8.0</v>
      </c>
      <c r="D74" s="2">
        <v>14.0</v>
      </c>
      <c r="E74" s="2">
        <v>3.0</v>
      </c>
      <c r="F74" s="2">
        <f t="array" ref="F74">Sales!$E74*(INDEX(Models!G:G,MATCH(Sales!$D74,Models!A:A,0)))</f>
        <v>96000</v>
      </c>
      <c r="G74" s="2">
        <f t="array" ref="G74">Sales!$E74*(INDEX(Models!H:H,MATCH(Sales!$D74,Models!A:A,0)))</f>
        <v>19200</v>
      </c>
    </row>
    <row r="75" ht="15.75" customHeight="1">
      <c r="A75" s="2">
        <v>74.0</v>
      </c>
      <c r="B75" s="3">
        <v>44722.0</v>
      </c>
      <c r="C75" s="2">
        <v>7.0</v>
      </c>
      <c r="D75" s="2">
        <v>10.0</v>
      </c>
      <c r="E75" s="2">
        <v>1.0</v>
      </c>
      <c r="F75" s="2">
        <f t="array" ref="F75">Sales!$E75*(INDEX(Models!G:G,MATCH(Sales!$D75,Models!A:A,0)))</f>
        <v>12000</v>
      </c>
      <c r="G75" s="2">
        <f t="array" ref="G75">Sales!$E75*(INDEX(Models!H:H,MATCH(Sales!$D75,Models!A:A,0)))</f>
        <v>1200</v>
      </c>
    </row>
    <row r="76" ht="15.75" customHeight="1">
      <c r="A76" s="2">
        <v>75.0</v>
      </c>
      <c r="B76" s="3">
        <v>44723.0</v>
      </c>
      <c r="C76" s="2">
        <v>8.0</v>
      </c>
      <c r="D76" s="2">
        <v>14.0</v>
      </c>
      <c r="E76" s="2">
        <v>2.0</v>
      </c>
      <c r="F76" s="2">
        <f t="array" ref="F76">Sales!$E76*(INDEX(Models!G:G,MATCH(Sales!$D76,Models!A:A,0)))</f>
        <v>64000</v>
      </c>
      <c r="G76" s="2">
        <f t="array" ref="G76">Sales!$E76*(INDEX(Models!H:H,MATCH(Sales!$D76,Models!A:A,0)))</f>
        <v>12800</v>
      </c>
    </row>
    <row r="77" ht="15.75" customHeight="1">
      <c r="A77" s="2">
        <v>76.0</v>
      </c>
      <c r="B77" s="3">
        <v>44726.0</v>
      </c>
      <c r="C77" s="2">
        <v>5.0</v>
      </c>
      <c r="D77" s="2">
        <v>9.0</v>
      </c>
      <c r="E77" s="2">
        <v>1.0</v>
      </c>
      <c r="F77" s="2">
        <f t="array" ref="F77">Sales!$E77*(INDEX(Models!G:G,MATCH(Sales!$D77,Models!A:A,0)))</f>
        <v>40000</v>
      </c>
      <c r="G77" s="2">
        <f t="array" ref="G77">Sales!$E77*(INDEX(Models!H:H,MATCH(Sales!$D77,Models!A:A,0)))</f>
        <v>4000</v>
      </c>
    </row>
    <row r="78" ht="15.75" customHeight="1">
      <c r="A78" s="2">
        <v>77.0</v>
      </c>
      <c r="B78" s="3">
        <v>44727.0</v>
      </c>
      <c r="C78" s="2">
        <v>3.0</v>
      </c>
      <c r="D78" s="2">
        <v>9.0</v>
      </c>
      <c r="E78" s="2">
        <v>1.0</v>
      </c>
      <c r="F78" s="2">
        <f t="array" ref="F78">Sales!$E78*(INDEX(Models!G:G,MATCH(Sales!$D78,Models!A:A,0)))</f>
        <v>40000</v>
      </c>
      <c r="G78" s="2">
        <f t="array" ref="G78">Sales!$E78*(INDEX(Models!H:H,MATCH(Sales!$D78,Models!A:A,0)))</f>
        <v>4000</v>
      </c>
    </row>
    <row r="79" ht="15.75" customHeight="1">
      <c r="A79" s="2">
        <v>78.0</v>
      </c>
      <c r="B79" s="3">
        <v>44728.0</v>
      </c>
      <c r="C79" s="2">
        <v>6.0</v>
      </c>
      <c r="D79" s="2">
        <v>11.0</v>
      </c>
      <c r="E79" s="2">
        <v>3.0</v>
      </c>
      <c r="F79" s="2">
        <f t="array" ref="F79">Sales!$E79*(INDEX(Models!G:G,MATCH(Sales!$D79,Models!A:A,0)))</f>
        <v>135000</v>
      </c>
      <c r="G79" s="2">
        <f t="array" ref="G79">Sales!$E79*(INDEX(Models!H:H,MATCH(Sales!$D79,Models!A:A,0)))</f>
        <v>27000</v>
      </c>
    </row>
    <row r="80" ht="15.75" customHeight="1">
      <c r="A80" s="2">
        <v>79.0</v>
      </c>
      <c r="B80" s="3">
        <v>44729.0</v>
      </c>
      <c r="C80" s="2">
        <v>9.0</v>
      </c>
      <c r="D80" s="2">
        <v>4.0</v>
      </c>
      <c r="E80" s="2">
        <v>1.0</v>
      </c>
      <c r="F80" s="2">
        <f t="array" ref="F80">Sales!$E80*(INDEX(Models!G:G,MATCH(Sales!$D80,Models!A:A,0)))</f>
        <v>35000</v>
      </c>
      <c r="G80" s="2">
        <f t="array" ref="G80">Sales!$E80*(INDEX(Models!H:H,MATCH(Sales!$D80,Models!A:A,0)))</f>
        <v>3500</v>
      </c>
    </row>
    <row r="81" ht="15.75" customHeight="1">
      <c r="A81" s="2">
        <v>80.0</v>
      </c>
      <c r="B81" s="3">
        <v>44730.0</v>
      </c>
      <c r="C81" s="2">
        <v>7.0</v>
      </c>
      <c r="D81" s="2">
        <v>10.0</v>
      </c>
      <c r="E81" s="2">
        <v>1.0</v>
      </c>
      <c r="F81" s="2">
        <f t="array" ref="F81">Sales!$E81*(INDEX(Models!G:G,MATCH(Sales!$D81,Models!A:A,0)))</f>
        <v>12000</v>
      </c>
      <c r="G81" s="2">
        <f t="array" ref="G81">Sales!$E81*(INDEX(Models!H:H,MATCH(Sales!$D81,Models!A:A,0)))</f>
        <v>1200</v>
      </c>
    </row>
    <row r="82" ht="15.75" customHeight="1">
      <c r="A82" s="2">
        <v>81.0</v>
      </c>
      <c r="B82" s="3">
        <v>44733.0</v>
      </c>
      <c r="C82" s="2">
        <v>10.0</v>
      </c>
      <c r="D82" s="2">
        <v>4.0</v>
      </c>
      <c r="E82" s="2">
        <v>2.0</v>
      </c>
      <c r="F82" s="2">
        <f t="array" ref="F82">Sales!$E82*(INDEX(Models!G:G,MATCH(Sales!$D82,Models!A:A,0)))</f>
        <v>70000</v>
      </c>
      <c r="G82" s="2">
        <f t="array" ref="G82">Sales!$E82*(INDEX(Models!H:H,MATCH(Sales!$D82,Models!A:A,0)))</f>
        <v>7000</v>
      </c>
    </row>
    <row r="83" ht="15.75" customHeight="1">
      <c r="A83" s="2">
        <v>82.0</v>
      </c>
      <c r="B83" s="3">
        <v>44734.0</v>
      </c>
      <c r="C83" s="2">
        <v>9.0</v>
      </c>
      <c r="D83" s="2">
        <v>13.0</v>
      </c>
      <c r="E83" s="2">
        <v>1.0</v>
      </c>
      <c r="F83" s="2">
        <f t="array" ref="F83">Sales!$E83*(INDEX(Models!G:G,MATCH(Sales!$D83,Models!A:A,0)))</f>
        <v>14000</v>
      </c>
      <c r="G83" s="2">
        <f t="array" ref="G83">Sales!$E83*(INDEX(Models!H:H,MATCH(Sales!$D83,Models!A:A,0)))</f>
        <v>1400</v>
      </c>
    </row>
    <row r="84" ht="15.75" customHeight="1">
      <c r="A84" s="2">
        <v>83.0</v>
      </c>
      <c r="B84" s="3">
        <v>44735.0</v>
      </c>
      <c r="C84" s="2">
        <v>2.0</v>
      </c>
      <c r="D84" s="2">
        <v>4.0</v>
      </c>
      <c r="E84" s="2">
        <v>3.0</v>
      </c>
      <c r="F84" s="2">
        <f t="array" ref="F84">Sales!$E84*(INDEX(Models!G:G,MATCH(Sales!$D84,Models!A:A,0)))</f>
        <v>105000</v>
      </c>
      <c r="G84" s="2">
        <f t="array" ref="G84">Sales!$E84*(INDEX(Models!H:H,MATCH(Sales!$D84,Models!A:A,0)))</f>
        <v>10500</v>
      </c>
    </row>
    <row r="85" ht="15.75" customHeight="1">
      <c r="A85" s="2">
        <v>84.0</v>
      </c>
      <c r="B85" s="3">
        <v>44736.0</v>
      </c>
      <c r="C85" s="2">
        <v>4.0</v>
      </c>
      <c r="D85" s="2">
        <v>15.0</v>
      </c>
      <c r="E85" s="2">
        <v>1.0</v>
      </c>
      <c r="F85" s="2">
        <f t="array" ref="F85">Sales!$E85*(INDEX(Models!G:G,MATCH(Sales!$D85,Models!A:A,0)))</f>
        <v>45000</v>
      </c>
      <c r="G85" s="2">
        <f t="array" ref="G85">Sales!$E85*(INDEX(Models!H:H,MATCH(Sales!$D85,Models!A:A,0)))</f>
        <v>4500</v>
      </c>
    </row>
    <row r="86" ht="15.75" customHeight="1">
      <c r="A86" s="2">
        <v>85.0</v>
      </c>
      <c r="B86" s="3">
        <v>44737.0</v>
      </c>
      <c r="C86" s="2">
        <v>7.0</v>
      </c>
      <c r="D86" s="2">
        <v>12.0</v>
      </c>
      <c r="E86" s="2">
        <v>2.0</v>
      </c>
      <c r="F86" s="2">
        <f t="array" ref="F86">Sales!$E86*(INDEX(Models!G:G,MATCH(Sales!$D86,Models!A:A,0)))</f>
        <v>40000</v>
      </c>
      <c r="G86" s="2">
        <f t="array" ref="G86">Sales!$E86*(INDEX(Models!H:H,MATCH(Sales!$D86,Models!A:A,0)))</f>
        <v>4000</v>
      </c>
    </row>
    <row r="87" ht="15.75" customHeight="1">
      <c r="A87" s="2">
        <v>86.0</v>
      </c>
      <c r="B87" s="3">
        <v>44740.0</v>
      </c>
      <c r="C87" s="2">
        <v>9.0</v>
      </c>
      <c r="D87" s="2">
        <v>8.0</v>
      </c>
      <c r="E87" s="2">
        <v>1.0</v>
      </c>
      <c r="F87" s="2">
        <f t="array" ref="F87">Sales!$E87*(INDEX(Models!G:G,MATCH(Sales!$D87,Models!A:A,0)))</f>
        <v>17000</v>
      </c>
      <c r="G87" s="2">
        <f t="array" ref="G87">Sales!$E87*(INDEX(Models!H:H,MATCH(Sales!$D87,Models!A:A,0)))</f>
        <v>1700</v>
      </c>
    </row>
    <row r="88" ht="15.75" customHeight="1">
      <c r="A88" s="2">
        <v>87.0</v>
      </c>
      <c r="B88" s="3">
        <v>44741.0</v>
      </c>
      <c r="C88" s="2">
        <v>4.0</v>
      </c>
      <c r="D88" s="2">
        <v>5.0</v>
      </c>
      <c r="E88" s="2">
        <v>1.0</v>
      </c>
      <c r="F88" s="2">
        <f t="array" ref="F88">Sales!$E88*(INDEX(Models!G:G,MATCH(Sales!$D88,Models!A:A,0)))</f>
        <v>40000</v>
      </c>
      <c r="G88" s="2">
        <f t="array" ref="G88">Sales!$E88*(INDEX(Models!H:H,MATCH(Sales!$D88,Models!A:A,0)))</f>
        <v>4000</v>
      </c>
    </row>
    <row r="89" ht="15.75" customHeight="1">
      <c r="A89" s="2">
        <v>88.0</v>
      </c>
      <c r="B89" s="3">
        <v>44742.0</v>
      </c>
      <c r="C89" s="2">
        <v>3.0</v>
      </c>
      <c r="D89" s="2">
        <v>2.0</v>
      </c>
      <c r="E89" s="2">
        <v>3.0</v>
      </c>
      <c r="F89" s="2">
        <f t="array" ref="F89">Sales!$E89*(INDEX(Models!G:G,MATCH(Sales!$D89,Models!A:A,0)))</f>
        <v>45000</v>
      </c>
      <c r="G89" s="2">
        <f t="array" ref="G89">Sales!$E89*(INDEX(Models!H:H,MATCH(Sales!$D89,Models!A:A,0)))</f>
        <v>4500</v>
      </c>
    </row>
    <row r="90" ht="15.75" customHeight="1">
      <c r="A90" s="2">
        <v>89.0</v>
      </c>
      <c r="B90" s="3">
        <v>44743.0</v>
      </c>
      <c r="C90" s="2">
        <v>5.0</v>
      </c>
      <c r="D90" s="2">
        <v>6.0</v>
      </c>
      <c r="E90" s="2">
        <v>1.0</v>
      </c>
      <c r="F90" s="2">
        <f t="array" ref="F90">Sales!$E90*(INDEX(Models!G:G,MATCH(Sales!$D90,Models!A:A,0)))</f>
        <v>13000</v>
      </c>
      <c r="G90" s="2">
        <f t="array" ref="G90">Sales!$E90*(INDEX(Models!H:H,MATCH(Sales!$D90,Models!A:A,0)))</f>
        <v>1300</v>
      </c>
    </row>
    <row r="91" ht="15.75" customHeight="1">
      <c r="A91" s="2">
        <v>90.0</v>
      </c>
      <c r="B91" s="3">
        <v>44744.0</v>
      </c>
      <c r="C91" s="2">
        <v>3.0</v>
      </c>
      <c r="D91" s="2">
        <v>9.0</v>
      </c>
      <c r="E91" s="2">
        <v>1.0</v>
      </c>
      <c r="F91" s="2">
        <f t="array" ref="F91">Sales!$E91*(INDEX(Models!G:G,MATCH(Sales!$D91,Models!A:A,0)))</f>
        <v>40000</v>
      </c>
      <c r="G91" s="2">
        <f t="array" ref="G91">Sales!$E91*(INDEX(Models!H:H,MATCH(Sales!$D91,Models!A:A,0)))</f>
        <v>4000</v>
      </c>
    </row>
    <row r="92" ht="15.75" customHeight="1">
      <c r="A92" s="2">
        <v>91.0</v>
      </c>
      <c r="B92" s="3">
        <v>44747.0</v>
      </c>
      <c r="C92" s="2">
        <v>1.0</v>
      </c>
      <c r="D92" s="2">
        <v>9.0</v>
      </c>
      <c r="E92" s="2">
        <v>2.0</v>
      </c>
      <c r="F92" s="2">
        <f t="array" ref="F92">Sales!$E92*(INDEX(Models!G:G,MATCH(Sales!$D92,Models!A:A,0)))</f>
        <v>80000</v>
      </c>
      <c r="G92" s="2">
        <f t="array" ref="G92">Sales!$E92*(INDEX(Models!H:H,MATCH(Sales!$D92,Models!A:A,0)))</f>
        <v>8000</v>
      </c>
    </row>
    <row r="93" ht="15.75" customHeight="1">
      <c r="A93" s="2">
        <v>92.0</v>
      </c>
      <c r="B93" s="3">
        <v>44748.0</v>
      </c>
      <c r="C93" s="2">
        <v>9.0</v>
      </c>
      <c r="D93" s="2">
        <v>3.0</v>
      </c>
      <c r="E93" s="2">
        <v>1.0</v>
      </c>
      <c r="F93" s="2">
        <f t="array" ref="F93">Sales!$E93*(INDEX(Models!G:G,MATCH(Sales!$D93,Models!A:A,0)))</f>
        <v>30000</v>
      </c>
      <c r="G93" s="2">
        <f t="array" ref="G93">Sales!$E93*(INDEX(Models!H:H,MATCH(Sales!$D93,Models!A:A,0)))</f>
        <v>6000</v>
      </c>
    </row>
    <row r="94" ht="15.75" customHeight="1">
      <c r="A94" s="2">
        <v>93.0</v>
      </c>
      <c r="B94" s="3">
        <v>44749.0</v>
      </c>
      <c r="C94" s="2">
        <v>3.0</v>
      </c>
      <c r="D94" s="2">
        <v>3.0</v>
      </c>
      <c r="E94" s="2">
        <v>3.0</v>
      </c>
      <c r="F94" s="2">
        <f t="array" ref="F94">Sales!$E94*(INDEX(Models!G:G,MATCH(Sales!$D94,Models!A:A,0)))</f>
        <v>90000</v>
      </c>
      <c r="G94" s="2">
        <f t="array" ref="G94">Sales!$E94*(INDEX(Models!H:H,MATCH(Sales!$D94,Models!A:A,0)))</f>
        <v>18000</v>
      </c>
    </row>
    <row r="95" ht="15.75" customHeight="1">
      <c r="A95" s="2">
        <v>94.0</v>
      </c>
      <c r="B95" s="3">
        <v>44750.0</v>
      </c>
      <c r="C95" s="2">
        <v>2.0</v>
      </c>
      <c r="D95" s="2">
        <v>12.0</v>
      </c>
      <c r="E95" s="2">
        <v>1.0</v>
      </c>
      <c r="F95" s="2">
        <f t="array" ref="F95">Sales!$E95*(INDEX(Models!G:G,MATCH(Sales!$D95,Models!A:A,0)))</f>
        <v>20000</v>
      </c>
      <c r="G95" s="2">
        <f t="array" ref="G95">Sales!$E95*(INDEX(Models!H:H,MATCH(Sales!$D95,Models!A:A,0)))</f>
        <v>2000</v>
      </c>
    </row>
    <row r="96" ht="15.75" customHeight="1">
      <c r="A96" s="2">
        <v>95.0</v>
      </c>
      <c r="B96" s="3">
        <v>44751.0</v>
      </c>
      <c r="C96" s="2">
        <v>9.0</v>
      </c>
      <c r="D96" s="2">
        <v>2.0</v>
      </c>
      <c r="E96" s="2">
        <v>2.0</v>
      </c>
      <c r="F96" s="2">
        <f t="array" ref="F96">Sales!$E96*(INDEX(Models!G:G,MATCH(Sales!$D96,Models!A:A,0)))</f>
        <v>30000</v>
      </c>
      <c r="G96" s="2">
        <f t="array" ref="G96">Sales!$E96*(INDEX(Models!H:H,MATCH(Sales!$D96,Models!A:A,0)))</f>
        <v>3000</v>
      </c>
    </row>
    <row r="97" ht="15.75" customHeight="1">
      <c r="A97" s="2">
        <v>96.0</v>
      </c>
      <c r="B97" s="3">
        <v>44754.0</v>
      </c>
      <c r="C97" s="2">
        <v>1.0</v>
      </c>
      <c r="D97" s="2">
        <v>5.0</v>
      </c>
      <c r="E97" s="2">
        <v>1.0</v>
      </c>
      <c r="F97" s="2">
        <f t="array" ref="F97">Sales!$E97*(INDEX(Models!G:G,MATCH(Sales!$D97,Models!A:A,0)))</f>
        <v>40000</v>
      </c>
      <c r="G97" s="2">
        <f t="array" ref="G97">Sales!$E97*(INDEX(Models!H:H,MATCH(Sales!$D97,Models!A:A,0)))</f>
        <v>4000</v>
      </c>
    </row>
    <row r="98" ht="15.75" customHeight="1">
      <c r="A98" s="2">
        <v>97.0</v>
      </c>
      <c r="B98" s="3">
        <v>44755.0</v>
      </c>
      <c r="C98" s="2">
        <v>8.0</v>
      </c>
      <c r="D98" s="2">
        <v>2.0</v>
      </c>
      <c r="E98" s="2">
        <v>1.0</v>
      </c>
      <c r="F98" s="2">
        <f t="array" ref="F98">Sales!$E98*(INDEX(Models!G:G,MATCH(Sales!$D98,Models!A:A,0)))</f>
        <v>15000</v>
      </c>
      <c r="G98" s="2">
        <f t="array" ref="G98">Sales!$E98*(INDEX(Models!H:H,MATCH(Sales!$D98,Models!A:A,0)))</f>
        <v>1500</v>
      </c>
    </row>
    <row r="99" ht="15.75" customHeight="1">
      <c r="A99" s="2">
        <v>98.0</v>
      </c>
      <c r="B99" s="3">
        <v>44756.0</v>
      </c>
      <c r="C99" s="2">
        <v>9.0</v>
      </c>
      <c r="D99" s="2">
        <v>4.0</v>
      </c>
      <c r="E99" s="2">
        <v>3.0</v>
      </c>
      <c r="F99" s="2">
        <f t="array" ref="F99">Sales!$E99*(INDEX(Models!G:G,MATCH(Sales!$D99,Models!A:A,0)))</f>
        <v>105000</v>
      </c>
      <c r="G99" s="2">
        <f t="array" ref="G99">Sales!$E99*(INDEX(Models!H:H,MATCH(Sales!$D99,Models!A:A,0)))</f>
        <v>10500</v>
      </c>
    </row>
    <row r="100" ht="15.75" customHeight="1">
      <c r="A100" s="2">
        <v>99.0</v>
      </c>
      <c r="B100" s="3">
        <v>44757.0</v>
      </c>
      <c r="C100" s="2">
        <v>5.0</v>
      </c>
      <c r="D100" s="2">
        <v>7.0</v>
      </c>
      <c r="E100" s="2">
        <v>1.0</v>
      </c>
      <c r="F100" s="2">
        <f t="array" ref="F100">Sales!$E100*(INDEX(Models!G:G,MATCH(Sales!$D100,Models!A:A,0)))</f>
        <v>22000</v>
      </c>
      <c r="G100" s="2">
        <f t="array" ref="G100">Sales!$E100*(INDEX(Models!H:H,MATCH(Sales!$D100,Models!A:A,0)))</f>
        <v>2200</v>
      </c>
    </row>
    <row r="101" ht="15.75" customHeight="1">
      <c r="A101" s="2">
        <v>100.0</v>
      </c>
      <c r="B101" s="3">
        <v>44758.0</v>
      </c>
      <c r="C101" s="2">
        <v>8.0</v>
      </c>
      <c r="D101" s="2">
        <v>13.0</v>
      </c>
      <c r="E101" s="2">
        <v>1.0</v>
      </c>
      <c r="F101" s="2">
        <f t="array" ref="F101">Sales!$E101*(INDEX(Models!G:G,MATCH(Sales!$D101,Models!A:A,0)))</f>
        <v>14000</v>
      </c>
      <c r="G101" s="2">
        <f t="array" ref="G101">Sales!$E101*(INDEX(Models!H:H,MATCH(Sales!$D101,Models!A:A,0)))</f>
        <v>1400</v>
      </c>
    </row>
    <row r="102" ht="15.75" customHeight="1">
      <c r="A102" s="2">
        <v>101.0</v>
      </c>
      <c r="B102" s="3">
        <v>44761.0</v>
      </c>
      <c r="C102" s="2">
        <v>2.0</v>
      </c>
      <c r="D102" s="2">
        <v>8.0</v>
      </c>
      <c r="E102" s="2">
        <v>2.0</v>
      </c>
      <c r="F102" s="2">
        <f t="array" ref="F102">Sales!$E102*(INDEX(Models!G:G,MATCH(Sales!$D102,Models!A:A,0)))</f>
        <v>34000</v>
      </c>
      <c r="G102" s="2">
        <f t="array" ref="G102">Sales!$E102*(INDEX(Models!H:H,MATCH(Sales!$D102,Models!A:A,0)))</f>
        <v>3400</v>
      </c>
    </row>
    <row r="103" ht="15.75" customHeight="1">
      <c r="A103" s="2">
        <v>102.0</v>
      </c>
      <c r="B103" s="3">
        <v>44762.0</v>
      </c>
      <c r="C103" s="2">
        <v>1.0</v>
      </c>
      <c r="D103" s="2">
        <v>8.0</v>
      </c>
      <c r="E103" s="2">
        <v>1.0</v>
      </c>
      <c r="F103" s="2">
        <f t="array" ref="F103">Sales!$E103*(INDEX(Models!G:G,MATCH(Sales!$D103,Models!A:A,0)))</f>
        <v>17000</v>
      </c>
      <c r="G103" s="2">
        <f t="array" ref="G103">Sales!$E103*(INDEX(Models!H:H,MATCH(Sales!$D103,Models!A:A,0)))</f>
        <v>1700</v>
      </c>
    </row>
    <row r="104" ht="15.75" customHeight="1">
      <c r="A104" s="2">
        <v>103.0</v>
      </c>
      <c r="B104" s="3">
        <v>44763.0</v>
      </c>
      <c r="C104" s="2">
        <v>2.0</v>
      </c>
      <c r="D104" s="2">
        <v>1.0</v>
      </c>
      <c r="E104" s="2">
        <v>3.0</v>
      </c>
      <c r="F104" s="2">
        <f t="array" ref="F104">Sales!$E104*(INDEX(Models!G:G,MATCH(Sales!$D104,Models!A:A,0)))</f>
        <v>54000</v>
      </c>
      <c r="G104" s="2">
        <f t="array" ref="G104">Sales!$E104*(INDEX(Models!H:H,MATCH(Sales!$D104,Models!A:A,0)))</f>
        <v>5400</v>
      </c>
    </row>
    <row r="105" ht="15.75" customHeight="1">
      <c r="A105" s="2">
        <v>104.0</v>
      </c>
      <c r="B105" s="3">
        <v>44764.0</v>
      </c>
      <c r="C105" s="2">
        <v>1.0</v>
      </c>
      <c r="D105" s="2">
        <v>1.0</v>
      </c>
      <c r="E105" s="2">
        <v>1.0</v>
      </c>
      <c r="F105" s="2">
        <f t="array" ref="F105">Sales!$E105*(INDEX(Models!G:G,MATCH(Sales!$D105,Models!A:A,0)))</f>
        <v>18000</v>
      </c>
      <c r="G105" s="2">
        <f t="array" ref="G105">Sales!$E105*(INDEX(Models!H:H,MATCH(Sales!$D105,Models!A:A,0)))</f>
        <v>1800</v>
      </c>
    </row>
    <row r="106" ht="15.75" customHeight="1">
      <c r="A106" s="2">
        <v>105.0</v>
      </c>
      <c r="B106" s="3">
        <v>44765.0</v>
      </c>
      <c r="C106" s="2">
        <v>1.0</v>
      </c>
      <c r="D106" s="2">
        <v>10.0</v>
      </c>
      <c r="E106" s="2">
        <v>2.0</v>
      </c>
      <c r="F106" s="2">
        <f t="array" ref="F106">Sales!$E106*(INDEX(Models!G:G,MATCH(Sales!$D106,Models!A:A,0)))</f>
        <v>24000</v>
      </c>
      <c r="G106" s="2">
        <f t="array" ref="G106">Sales!$E106*(INDEX(Models!H:H,MATCH(Sales!$D106,Models!A:A,0)))</f>
        <v>2400</v>
      </c>
    </row>
    <row r="107" ht="15.75" customHeight="1">
      <c r="A107" s="2">
        <v>106.0</v>
      </c>
      <c r="B107" s="3">
        <v>44768.0</v>
      </c>
      <c r="C107" s="2">
        <v>8.0</v>
      </c>
      <c r="D107" s="2">
        <v>12.0</v>
      </c>
      <c r="E107" s="2">
        <v>1.0</v>
      </c>
      <c r="F107" s="2">
        <f t="array" ref="F107">Sales!$E107*(INDEX(Models!G:G,MATCH(Sales!$D107,Models!A:A,0)))</f>
        <v>20000</v>
      </c>
      <c r="G107" s="2">
        <f t="array" ref="G107">Sales!$E107*(INDEX(Models!H:H,MATCH(Sales!$D107,Models!A:A,0)))</f>
        <v>2000</v>
      </c>
    </row>
    <row r="108" ht="15.75" customHeight="1">
      <c r="A108" s="2">
        <v>107.0</v>
      </c>
      <c r="B108" s="3">
        <v>44769.0</v>
      </c>
      <c r="C108" s="2">
        <v>1.0</v>
      </c>
      <c r="D108" s="2">
        <v>13.0</v>
      </c>
      <c r="E108" s="2">
        <v>1.0</v>
      </c>
      <c r="F108" s="2">
        <f t="array" ref="F108">Sales!$E108*(INDEX(Models!G:G,MATCH(Sales!$D108,Models!A:A,0)))</f>
        <v>14000</v>
      </c>
      <c r="G108" s="2">
        <f t="array" ref="G108">Sales!$E108*(INDEX(Models!H:H,MATCH(Sales!$D108,Models!A:A,0)))</f>
        <v>1400</v>
      </c>
    </row>
    <row r="109" ht="15.75" customHeight="1">
      <c r="A109" s="2">
        <v>108.0</v>
      </c>
      <c r="B109" s="3">
        <v>44770.0</v>
      </c>
      <c r="C109" s="2">
        <v>10.0</v>
      </c>
      <c r="D109" s="2">
        <v>7.0</v>
      </c>
      <c r="E109" s="2">
        <v>3.0</v>
      </c>
      <c r="F109" s="2">
        <f t="array" ref="F109">Sales!$E109*(INDEX(Models!G:G,MATCH(Sales!$D109,Models!A:A,0)))</f>
        <v>66000</v>
      </c>
      <c r="G109" s="2">
        <f t="array" ref="G109">Sales!$E109*(INDEX(Models!H:H,MATCH(Sales!$D109,Models!A:A,0)))</f>
        <v>6600</v>
      </c>
    </row>
    <row r="110" ht="15.75" customHeight="1">
      <c r="A110" s="2">
        <v>109.0</v>
      </c>
      <c r="B110" s="3">
        <v>44771.0</v>
      </c>
      <c r="C110" s="2">
        <v>6.0</v>
      </c>
      <c r="D110" s="2">
        <v>7.0</v>
      </c>
      <c r="E110" s="2">
        <v>1.0</v>
      </c>
      <c r="F110" s="2">
        <f t="array" ref="F110">Sales!$E110*(INDEX(Models!G:G,MATCH(Sales!$D110,Models!A:A,0)))</f>
        <v>22000</v>
      </c>
      <c r="G110" s="2">
        <f t="array" ref="G110">Sales!$E110*(INDEX(Models!H:H,MATCH(Sales!$D110,Models!A:A,0)))</f>
        <v>2200</v>
      </c>
    </row>
    <row r="111" ht="15.75" customHeight="1">
      <c r="A111" s="2">
        <v>110.0</v>
      </c>
      <c r="B111" s="3">
        <v>44772.0</v>
      </c>
      <c r="C111" s="2">
        <v>7.0</v>
      </c>
      <c r="D111" s="2">
        <v>4.0</v>
      </c>
      <c r="E111" s="2">
        <v>1.0</v>
      </c>
      <c r="F111" s="2">
        <f t="array" ref="F111">Sales!$E111*(INDEX(Models!G:G,MATCH(Sales!$D111,Models!A:A,0)))</f>
        <v>35000</v>
      </c>
      <c r="G111" s="2">
        <f t="array" ref="G111">Sales!$E111*(INDEX(Models!H:H,MATCH(Sales!$D111,Models!A:A,0)))</f>
        <v>3500</v>
      </c>
    </row>
    <row r="112" ht="15.75" customHeight="1">
      <c r="A112" s="2">
        <v>111.0</v>
      </c>
      <c r="B112" s="3">
        <v>44775.0</v>
      </c>
      <c r="C112" s="2">
        <v>2.0</v>
      </c>
      <c r="D112" s="2">
        <v>15.0</v>
      </c>
      <c r="E112" s="2">
        <v>2.0</v>
      </c>
      <c r="F112" s="2">
        <f t="array" ref="F112">Sales!$E112*(INDEX(Models!G:G,MATCH(Sales!$D112,Models!A:A,0)))</f>
        <v>90000</v>
      </c>
      <c r="G112" s="2">
        <f t="array" ref="G112">Sales!$E112*(INDEX(Models!H:H,MATCH(Sales!$D112,Models!A:A,0)))</f>
        <v>9000</v>
      </c>
    </row>
    <row r="113" ht="15.75" customHeight="1">
      <c r="A113" s="2">
        <v>112.0</v>
      </c>
      <c r="B113" s="3">
        <v>44776.0</v>
      </c>
      <c r="C113" s="2">
        <v>2.0</v>
      </c>
      <c r="D113" s="2">
        <v>15.0</v>
      </c>
      <c r="E113" s="2">
        <v>1.0</v>
      </c>
      <c r="F113" s="2">
        <f t="array" ref="F113">Sales!$E113*(INDEX(Models!G:G,MATCH(Sales!$D113,Models!A:A,0)))</f>
        <v>45000</v>
      </c>
      <c r="G113" s="2">
        <f t="array" ref="G113">Sales!$E113*(INDEX(Models!H:H,MATCH(Sales!$D113,Models!A:A,0)))</f>
        <v>4500</v>
      </c>
    </row>
    <row r="114" ht="15.75" customHeight="1">
      <c r="A114" s="2">
        <v>113.0</v>
      </c>
      <c r="B114" s="3">
        <v>44777.0</v>
      </c>
      <c r="C114" s="2">
        <v>4.0</v>
      </c>
      <c r="D114" s="2">
        <v>10.0</v>
      </c>
      <c r="E114" s="2">
        <v>3.0</v>
      </c>
      <c r="F114" s="2">
        <f t="array" ref="F114">Sales!$E114*(INDEX(Models!G:G,MATCH(Sales!$D114,Models!A:A,0)))</f>
        <v>36000</v>
      </c>
      <c r="G114" s="2">
        <f t="array" ref="G114">Sales!$E114*(INDEX(Models!H:H,MATCH(Sales!$D114,Models!A:A,0)))</f>
        <v>3600</v>
      </c>
    </row>
    <row r="115" ht="15.75" customHeight="1">
      <c r="A115" s="2">
        <v>114.0</v>
      </c>
      <c r="B115" s="3">
        <v>44778.0</v>
      </c>
      <c r="C115" s="2">
        <v>3.0</v>
      </c>
      <c r="D115" s="2">
        <v>6.0</v>
      </c>
      <c r="E115" s="2">
        <v>1.0</v>
      </c>
      <c r="F115" s="2">
        <f t="array" ref="F115">Sales!$E115*(INDEX(Models!G:G,MATCH(Sales!$D115,Models!A:A,0)))</f>
        <v>13000</v>
      </c>
      <c r="G115" s="2">
        <f t="array" ref="G115">Sales!$E115*(INDEX(Models!H:H,MATCH(Sales!$D115,Models!A:A,0)))</f>
        <v>1300</v>
      </c>
    </row>
    <row r="116" ht="15.75" customHeight="1">
      <c r="A116" s="2">
        <v>115.0</v>
      </c>
      <c r="B116" s="3">
        <v>44779.0</v>
      </c>
      <c r="C116" s="2">
        <v>4.0</v>
      </c>
      <c r="D116" s="2">
        <v>3.0</v>
      </c>
      <c r="E116" s="2">
        <v>2.0</v>
      </c>
      <c r="F116" s="2">
        <f t="array" ref="F116">Sales!$E116*(INDEX(Models!G:G,MATCH(Sales!$D116,Models!A:A,0)))</f>
        <v>60000</v>
      </c>
      <c r="G116" s="2">
        <f t="array" ref="G116">Sales!$E116*(INDEX(Models!H:H,MATCH(Sales!$D116,Models!A:A,0)))</f>
        <v>12000</v>
      </c>
    </row>
    <row r="117" ht="15.75" customHeight="1">
      <c r="A117" s="2">
        <v>116.0</v>
      </c>
      <c r="B117" s="3">
        <v>44782.0</v>
      </c>
      <c r="C117" s="2">
        <v>10.0</v>
      </c>
      <c r="D117" s="2">
        <v>15.0</v>
      </c>
      <c r="E117" s="2">
        <v>1.0</v>
      </c>
      <c r="F117" s="2">
        <f t="array" ref="F117">Sales!$E117*(INDEX(Models!G:G,MATCH(Sales!$D117,Models!A:A,0)))</f>
        <v>45000</v>
      </c>
      <c r="G117" s="2">
        <f t="array" ref="G117">Sales!$E117*(INDEX(Models!H:H,MATCH(Sales!$D117,Models!A:A,0)))</f>
        <v>4500</v>
      </c>
    </row>
    <row r="118" ht="15.75" customHeight="1">
      <c r="A118" s="2">
        <v>117.0</v>
      </c>
      <c r="B118" s="3">
        <v>44783.0</v>
      </c>
      <c r="C118" s="2">
        <v>4.0</v>
      </c>
      <c r="D118" s="2">
        <v>8.0</v>
      </c>
      <c r="E118" s="2">
        <v>1.0</v>
      </c>
      <c r="F118" s="2">
        <f t="array" ref="F118">Sales!$E118*(INDEX(Models!G:G,MATCH(Sales!$D118,Models!A:A,0)))</f>
        <v>17000</v>
      </c>
      <c r="G118" s="2">
        <f t="array" ref="G118">Sales!$E118*(INDEX(Models!H:H,MATCH(Sales!$D118,Models!A:A,0)))</f>
        <v>1700</v>
      </c>
    </row>
    <row r="119" ht="15.75" customHeight="1">
      <c r="A119" s="2">
        <v>118.0</v>
      </c>
      <c r="B119" s="3">
        <v>44784.0</v>
      </c>
      <c r="C119" s="2">
        <v>2.0</v>
      </c>
      <c r="D119" s="2">
        <v>15.0</v>
      </c>
      <c r="E119" s="2">
        <v>3.0</v>
      </c>
      <c r="F119" s="2">
        <f t="array" ref="F119">Sales!$E119*(INDEX(Models!G:G,MATCH(Sales!$D119,Models!A:A,0)))</f>
        <v>135000</v>
      </c>
      <c r="G119" s="2">
        <f t="array" ref="G119">Sales!$E119*(INDEX(Models!H:H,MATCH(Sales!$D119,Models!A:A,0)))</f>
        <v>13500</v>
      </c>
    </row>
    <row r="120" ht="15.75" customHeight="1">
      <c r="A120" s="2">
        <v>119.0</v>
      </c>
      <c r="B120" s="3">
        <v>44785.0</v>
      </c>
      <c r="C120" s="2">
        <v>5.0</v>
      </c>
      <c r="D120" s="2">
        <v>5.0</v>
      </c>
      <c r="E120" s="2">
        <v>1.0</v>
      </c>
      <c r="F120" s="2">
        <f t="array" ref="F120">Sales!$E120*(INDEX(Models!G:G,MATCH(Sales!$D120,Models!A:A,0)))</f>
        <v>40000</v>
      </c>
      <c r="G120" s="2">
        <f t="array" ref="G120">Sales!$E120*(INDEX(Models!H:H,MATCH(Sales!$D120,Models!A:A,0)))</f>
        <v>4000</v>
      </c>
    </row>
    <row r="121" ht="15.75" customHeight="1">
      <c r="A121" s="2">
        <v>120.0</v>
      </c>
      <c r="B121" s="3">
        <v>44786.0</v>
      </c>
      <c r="C121" s="2">
        <v>5.0</v>
      </c>
      <c r="D121" s="2">
        <v>14.0</v>
      </c>
      <c r="E121" s="2">
        <v>1.0</v>
      </c>
      <c r="F121" s="2">
        <f t="array" ref="F121">Sales!$E121*(INDEX(Models!G:G,MATCH(Sales!$D121,Models!A:A,0)))</f>
        <v>32000</v>
      </c>
      <c r="G121" s="2">
        <f t="array" ref="G121">Sales!$E121*(INDEX(Models!H:H,MATCH(Sales!$D121,Models!A:A,0)))</f>
        <v>6400</v>
      </c>
    </row>
    <row r="122" ht="15.75" customHeight="1">
      <c r="A122" s="2">
        <v>121.0</v>
      </c>
      <c r="B122" s="3">
        <v>44789.0</v>
      </c>
      <c r="C122" s="2">
        <v>8.0</v>
      </c>
      <c r="D122" s="2">
        <v>8.0</v>
      </c>
      <c r="E122" s="2">
        <v>2.0</v>
      </c>
      <c r="F122" s="2">
        <f t="array" ref="F122">Sales!$E122*(INDEX(Models!G:G,MATCH(Sales!$D122,Models!A:A,0)))</f>
        <v>34000</v>
      </c>
      <c r="G122" s="2">
        <f t="array" ref="G122">Sales!$E122*(INDEX(Models!H:H,MATCH(Sales!$D122,Models!A:A,0)))</f>
        <v>3400</v>
      </c>
    </row>
    <row r="123" ht="15.75" customHeight="1">
      <c r="A123" s="2">
        <v>122.0</v>
      </c>
      <c r="B123" s="3">
        <v>44790.0</v>
      </c>
      <c r="C123" s="2">
        <v>8.0</v>
      </c>
      <c r="D123" s="2">
        <v>6.0</v>
      </c>
      <c r="E123" s="2">
        <v>1.0</v>
      </c>
      <c r="F123" s="2">
        <f t="array" ref="F123">Sales!$E123*(INDEX(Models!G:G,MATCH(Sales!$D123,Models!A:A,0)))</f>
        <v>13000</v>
      </c>
      <c r="G123" s="2">
        <f t="array" ref="G123">Sales!$E123*(INDEX(Models!H:H,MATCH(Sales!$D123,Models!A:A,0)))</f>
        <v>1300</v>
      </c>
    </row>
    <row r="124" ht="15.75" customHeight="1">
      <c r="A124" s="2">
        <v>123.0</v>
      </c>
      <c r="B124" s="3">
        <v>44791.0</v>
      </c>
      <c r="C124" s="2">
        <v>9.0</v>
      </c>
      <c r="D124" s="2">
        <v>7.0</v>
      </c>
      <c r="E124" s="2">
        <v>3.0</v>
      </c>
      <c r="F124" s="2">
        <f t="array" ref="F124">Sales!$E124*(INDEX(Models!G:G,MATCH(Sales!$D124,Models!A:A,0)))</f>
        <v>66000</v>
      </c>
      <c r="G124" s="2">
        <f t="array" ref="G124">Sales!$E124*(INDEX(Models!H:H,MATCH(Sales!$D124,Models!A:A,0)))</f>
        <v>6600</v>
      </c>
    </row>
    <row r="125" ht="15.75" customHeight="1">
      <c r="A125" s="2">
        <v>124.0</v>
      </c>
      <c r="B125" s="3">
        <v>44792.0</v>
      </c>
      <c r="C125" s="2">
        <v>1.0</v>
      </c>
      <c r="D125" s="2">
        <v>15.0</v>
      </c>
      <c r="E125" s="2">
        <v>1.0</v>
      </c>
      <c r="F125" s="2">
        <f t="array" ref="F125">Sales!$E125*(INDEX(Models!G:G,MATCH(Sales!$D125,Models!A:A,0)))</f>
        <v>45000</v>
      </c>
      <c r="G125" s="2">
        <f t="array" ref="G125">Sales!$E125*(INDEX(Models!H:H,MATCH(Sales!$D125,Models!A:A,0)))</f>
        <v>4500</v>
      </c>
    </row>
    <row r="126" ht="15.75" customHeight="1">
      <c r="A126" s="2">
        <v>125.0</v>
      </c>
      <c r="B126" s="3">
        <v>44793.0</v>
      </c>
      <c r="C126" s="2">
        <v>2.0</v>
      </c>
      <c r="D126" s="2">
        <v>1.0</v>
      </c>
      <c r="E126" s="2">
        <v>2.0</v>
      </c>
      <c r="F126" s="2">
        <f t="array" ref="F126">Sales!$E126*(INDEX(Models!G:G,MATCH(Sales!$D126,Models!A:A,0)))</f>
        <v>36000</v>
      </c>
      <c r="G126" s="2">
        <f t="array" ref="G126">Sales!$E126*(INDEX(Models!H:H,MATCH(Sales!$D126,Models!A:A,0)))</f>
        <v>3600</v>
      </c>
    </row>
    <row r="127" ht="15.75" customHeight="1">
      <c r="A127" s="2">
        <v>126.0</v>
      </c>
      <c r="B127" s="3">
        <v>44796.0</v>
      </c>
      <c r="C127" s="2">
        <v>4.0</v>
      </c>
      <c r="D127" s="2">
        <v>11.0</v>
      </c>
      <c r="E127" s="2">
        <v>1.0</v>
      </c>
      <c r="F127" s="2">
        <f t="array" ref="F127">Sales!$E127*(INDEX(Models!G:G,MATCH(Sales!$D127,Models!A:A,0)))</f>
        <v>45000</v>
      </c>
      <c r="G127" s="2">
        <f t="array" ref="G127">Sales!$E127*(INDEX(Models!H:H,MATCH(Sales!$D127,Models!A:A,0)))</f>
        <v>9000</v>
      </c>
    </row>
    <row r="128" ht="15.75" customHeight="1">
      <c r="A128" s="2">
        <v>127.0</v>
      </c>
      <c r="B128" s="3">
        <v>44797.0</v>
      </c>
      <c r="C128" s="2">
        <v>5.0</v>
      </c>
      <c r="D128" s="2">
        <v>12.0</v>
      </c>
      <c r="E128" s="2">
        <v>1.0</v>
      </c>
      <c r="F128" s="2">
        <f t="array" ref="F128">Sales!$E128*(INDEX(Models!G:G,MATCH(Sales!$D128,Models!A:A,0)))</f>
        <v>20000</v>
      </c>
      <c r="G128" s="2">
        <f t="array" ref="G128">Sales!$E128*(INDEX(Models!H:H,MATCH(Sales!$D128,Models!A:A,0)))</f>
        <v>2000</v>
      </c>
    </row>
    <row r="129" ht="15.75" customHeight="1">
      <c r="A129" s="2">
        <v>128.0</v>
      </c>
      <c r="B129" s="3">
        <v>44798.0</v>
      </c>
      <c r="C129" s="2">
        <v>9.0</v>
      </c>
      <c r="D129" s="2">
        <v>1.0</v>
      </c>
      <c r="E129" s="2">
        <v>3.0</v>
      </c>
      <c r="F129" s="2">
        <f t="array" ref="F129">Sales!$E129*(INDEX(Models!G:G,MATCH(Sales!$D129,Models!A:A,0)))</f>
        <v>54000</v>
      </c>
      <c r="G129" s="2">
        <f t="array" ref="G129">Sales!$E129*(INDEX(Models!H:H,MATCH(Sales!$D129,Models!A:A,0)))</f>
        <v>5400</v>
      </c>
    </row>
    <row r="130" ht="15.75" customHeight="1">
      <c r="A130" s="2">
        <v>129.0</v>
      </c>
      <c r="B130" s="3">
        <v>44799.0</v>
      </c>
      <c r="C130" s="2">
        <v>5.0</v>
      </c>
      <c r="D130" s="2">
        <v>10.0</v>
      </c>
      <c r="E130" s="2">
        <v>1.0</v>
      </c>
      <c r="F130" s="2">
        <f t="array" ref="F130">Sales!$E130*(INDEX(Models!G:G,MATCH(Sales!$D130,Models!A:A,0)))</f>
        <v>12000</v>
      </c>
      <c r="G130" s="2">
        <f t="array" ref="G130">Sales!$E130*(INDEX(Models!H:H,MATCH(Sales!$D130,Models!A:A,0)))</f>
        <v>1200</v>
      </c>
    </row>
    <row r="131" ht="15.75" customHeight="1">
      <c r="A131" s="2">
        <v>130.0</v>
      </c>
      <c r="B131" s="3">
        <v>44800.0</v>
      </c>
      <c r="C131" s="2">
        <v>9.0</v>
      </c>
      <c r="D131" s="2">
        <v>13.0</v>
      </c>
      <c r="E131" s="2">
        <v>1.0</v>
      </c>
      <c r="F131" s="2">
        <f t="array" ref="F131">Sales!$E131*(INDEX(Models!G:G,MATCH(Sales!$D131,Models!A:A,0)))</f>
        <v>14000</v>
      </c>
      <c r="G131" s="2">
        <f t="array" ref="G131">Sales!$E131*(INDEX(Models!H:H,MATCH(Sales!$D131,Models!A:A,0)))</f>
        <v>1400</v>
      </c>
    </row>
    <row r="132" ht="15.75" customHeight="1">
      <c r="A132" s="2">
        <v>131.0</v>
      </c>
      <c r="B132" s="3">
        <v>44803.0</v>
      </c>
      <c r="C132" s="2">
        <v>10.0</v>
      </c>
      <c r="D132" s="2">
        <v>5.0</v>
      </c>
      <c r="E132" s="2">
        <v>2.0</v>
      </c>
      <c r="F132" s="2">
        <f t="array" ref="F132">Sales!$E132*(INDEX(Models!G:G,MATCH(Sales!$D132,Models!A:A,0)))</f>
        <v>80000</v>
      </c>
      <c r="G132" s="2">
        <f t="array" ref="G132">Sales!$E132*(INDEX(Models!H:H,MATCH(Sales!$D132,Models!A:A,0)))</f>
        <v>8000</v>
      </c>
    </row>
    <row r="133" ht="15.75" customHeight="1">
      <c r="A133" s="2">
        <v>132.0</v>
      </c>
      <c r="B133" s="3">
        <v>44804.0</v>
      </c>
      <c r="C133" s="2">
        <v>5.0</v>
      </c>
      <c r="D133" s="2">
        <v>6.0</v>
      </c>
      <c r="E133" s="2">
        <v>1.0</v>
      </c>
      <c r="F133" s="2">
        <f t="array" ref="F133">Sales!$E133*(INDEX(Models!G:G,MATCH(Sales!$D133,Models!A:A,0)))</f>
        <v>13000</v>
      </c>
      <c r="G133" s="2">
        <f t="array" ref="G133">Sales!$E133*(INDEX(Models!H:H,MATCH(Sales!$D133,Models!A:A,0)))</f>
        <v>1300</v>
      </c>
    </row>
    <row r="134" ht="15.75" customHeight="1">
      <c r="A134" s="2">
        <v>133.0</v>
      </c>
      <c r="B134" s="3">
        <v>44805.0</v>
      </c>
      <c r="C134" s="2">
        <v>6.0</v>
      </c>
      <c r="D134" s="2">
        <v>1.0</v>
      </c>
      <c r="E134" s="2">
        <v>3.0</v>
      </c>
      <c r="F134" s="2">
        <f t="array" ref="F134">Sales!$E134*(INDEX(Models!G:G,MATCH(Sales!$D134,Models!A:A,0)))</f>
        <v>54000</v>
      </c>
      <c r="G134" s="2">
        <f t="array" ref="G134">Sales!$E134*(INDEX(Models!H:H,MATCH(Sales!$D134,Models!A:A,0)))</f>
        <v>5400</v>
      </c>
    </row>
    <row r="135" ht="15.75" customHeight="1">
      <c r="A135" s="2">
        <v>134.0</v>
      </c>
      <c r="B135" s="3">
        <v>44806.0</v>
      </c>
      <c r="C135" s="2">
        <v>7.0</v>
      </c>
      <c r="D135" s="2">
        <v>3.0</v>
      </c>
      <c r="E135" s="2">
        <v>1.0</v>
      </c>
      <c r="F135" s="2">
        <f t="array" ref="F135">Sales!$E135*(INDEX(Models!G:G,MATCH(Sales!$D135,Models!A:A,0)))</f>
        <v>30000</v>
      </c>
      <c r="G135" s="2">
        <f t="array" ref="G135">Sales!$E135*(INDEX(Models!H:H,MATCH(Sales!$D135,Models!A:A,0)))</f>
        <v>6000</v>
      </c>
    </row>
    <row r="136" ht="15.75" customHeight="1">
      <c r="A136" s="2">
        <v>135.0</v>
      </c>
      <c r="B136" s="3">
        <v>44807.0</v>
      </c>
      <c r="C136" s="2">
        <v>1.0</v>
      </c>
      <c r="D136" s="2">
        <v>15.0</v>
      </c>
      <c r="E136" s="2">
        <v>2.0</v>
      </c>
      <c r="F136" s="2">
        <f t="array" ref="F136">Sales!$E136*(INDEX(Models!G:G,MATCH(Sales!$D136,Models!A:A,0)))</f>
        <v>90000</v>
      </c>
      <c r="G136" s="2">
        <f t="array" ref="G136">Sales!$E136*(INDEX(Models!H:H,MATCH(Sales!$D136,Models!A:A,0)))</f>
        <v>9000</v>
      </c>
    </row>
    <row r="137" ht="15.75" customHeight="1">
      <c r="A137" s="2">
        <v>136.0</v>
      </c>
      <c r="B137" s="3">
        <v>44810.0</v>
      </c>
      <c r="C137" s="2">
        <v>10.0</v>
      </c>
      <c r="D137" s="2">
        <v>10.0</v>
      </c>
      <c r="E137" s="2">
        <v>1.0</v>
      </c>
      <c r="F137" s="2">
        <f t="array" ref="F137">Sales!$E137*(INDEX(Models!G:G,MATCH(Sales!$D137,Models!A:A,0)))</f>
        <v>12000</v>
      </c>
      <c r="G137" s="2">
        <f t="array" ref="G137">Sales!$E137*(INDEX(Models!H:H,MATCH(Sales!$D137,Models!A:A,0)))</f>
        <v>1200</v>
      </c>
    </row>
    <row r="138" ht="15.75" customHeight="1">
      <c r="A138" s="2">
        <v>137.0</v>
      </c>
      <c r="B138" s="3">
        <v>44811.0</v>
      </c>
      <c r="C138" s="2">
        <v>2.0</v>
      </c>
      <c r="D138" s="2">
        <v>12.0</v>
      </c>
      <c r="E138" s="2">
        <v>1.0</v>
      </c>
      <c r="F138" s="2">
        <f t="array" ref="F138">Sales!$E138*(INDEX(Models!G:G,MATCH(Sales!$D138,Models!A:A,0)))</f>
        <v>20000</v>
      </c>
      <c r="G138" s="2">
        <f t="array" ref="G138">Sales!$E138*(INDEX(Models!H:H,MATCH(Sales!$D138,Models!A:A,0)))</f>
        <v>2000</v>
      </c>
    </row>
    <row r="139" ht="15.75" customHeight="1">
      <c r="A139" s="2">
        <v>138.0</v>
      </c>
      <c r="B139" s="3">
        <v>44812.0</v>
      </c>
      <c r="C139" s="2">
        <v>6.0</v>
      </c>
      <c r="D139" s="2">
        <v>2.0</v>
      </c>
      <c r="E139" s="2">
        <v>3.0</v>
      </c>
      <c r="F139" s="2">
        <f t="array" ref="F139">Sales!$E139*(INDEX(Models!G:G,MATCH(Sales!$D139,Models!A:A,0)))</f>
        <v>45000</v>
      </c>
      <c r="G139" s="2">
        <f t="array" ref="G139">Sales!$E139*(INDEX(Models!H:H,MATCH(Sales!$D139,Models!A:A,0)))</f>
        <v>4500</v>
      </c>
    </row>
    <row r="140" ht="15.75" customHeight="1">
      <c r="A140" s="2">
        <v>139.0</v>
      </c>
      <c r="B140" s="3">
        <v>44813.0</v>
      </c>
      <c r="C140" s="2">
        <v>5.0</v>
      </c>
      <c r="D140" s="2">
        <v>11.0</v>
      </c>
      <c r="E140" s="2">
        <v>1.0</v>
      </c>
      <c r="F140" s="2">
        <f t="array" ref="F140">Sales!$E140*(INDEX(Models!G:G,MATCH(Sales!$D140,Models!A:A,0)))</f>
        <v>45000</v>
      </c>
      <c r="G140" s="2">
        <f t="array" ref="G140">Sales!$E140*(INDEX(Models!H:H,MATCH(Sales!$D140,Models!A:A,0)))</f>
        <v>9000</v>
      </c>
    </row>
    <row r="141" ht="15.75" customHeight="1">
      <c r="A141" s="2">
        <v>140.0</v>
      </c>
      <c r="B141" s="3">
        <v>44814.0</v>
      </c>
      <c r="C141" s="2">
        <v>2.0</v>
      </c>
      <c r="D141" s="2">
        <v>13.0</v>
      </c>
      <c r="E141" s="2">
        <v>1.0</v>
      </c>
      <c r="F141" s="2">
        <f t="array" ref="F141">Sales!$E141*(INDEX(Models!G:G,MATCH(Sales!$D141,Models!A:A,0)))</f>
        <v>14000</v>
      </c>
      <c r="G141" s="2">
        <f t="array" ref="G141">Sales!$E141*(INDEX(Models!H:H,MATCH(Sales!$D141,Models!A:A,0)))</f>
        <v>1400</v>
      </c>
    </row>
    <row r="142" ht="15.75" customHeight="1">
      <c r="A142" s="2">
        <v>141.0</v>
      </c>
      <c r="B142" s="3">
        <v>44817.0</v>
      </c>
      <c r="C142" s="2">
        <v>3.0</v>
      </c>
      <c r="D142" s="2">
        <v>4.0</v>
      </c>
      <c r="E142" s="2">
        <v>2.0</v>
      </c>
      <c r="F142" s="2">
        <f t="array" ref="F142">Sales!$E142*(INDEX(Models!G:G,MATCH(Sales!$D142,Models!A:A,0)))</f>
        <v>70000</v>
      </c>
      <c r="G142" s="2">
        <f t="array" ref="G142">Sales!$E142*(INDEX(Models!H:H,MATCH(Sales!$D142,Models!A:A,0)))</f>
        <v>7000</v>
      </c>
    </row>
    <row r="143" ht="15.75" customHeight="1">
      <c r="A143" s="2">
        <v>142.0</v>
      </c>
      <c r="B143" s="3">
        <v>44818.0</v>
      </c>
      <c r="C143" s="2">
        <v>7.0</v>
      </c>
      <c r="D143" s="2">
        <v>4.0</v>
      </c>
      <c r="E143" s="2">
        <v>1.0</v>
      </c>
      <c r="F143" s="2">
        <f t="array" ref="F143">Sales!$E143*(INDEX(Models!G:G,MATCH(Sales!$D143,Models!A:A,0)))</f>
        <v>35000</v>
      </c>
      <c r="G143" s="2">
        <f t="array" ref="G143">Sales!$E143*(INDEX(Models!H:H,MATCH(Sales!$D143,Models!A:A,0)))</f>
        <v>3500</v>
      </c>
    </row>
    <row r="144" ht="15.75" customHeight="1">
      <c r="A144" s="2">
        <v>143.0</v>
      </c>
      <c r="B144" s="3">
        <v>44819.0</v>
      </c>
      <c r="C144" s="2">
        <v>9.0</v>
      </c>
      <c r="D144" s="2">
        <v>1.0</v>
      </c>
      <c r="E144" s="2">
        <v>3.0</v>
      </c>
      <c r="F144" s="2">
        <f t="array" ref="F144">Sales!$E144*(INDEX(Models!G:G,MATCH(Sales!$D144,Models!A:A,0)))</f>
        <v>54000</v>
      </c>
      <c r="G144" s="2">
        <f t="array" ref="G144">Sales!$E144*(INDEX(Models!H:H,MATCH(Sales!$D144,Models!A:A,0)))</f>
        <v>5400</v>
      </c>
    </row>
    <row r="145" ht="15.75" customHeight="1">
      <c r="A145" s="2">
        <v>144.0</v>
      </c>
      <c r="B145" s="3">
        <v>44820.0</v>
      </c>
      <c r="C145" s="2">
        <v>4.0</v>
      </c>
      <c r="D145" s="2">
        <v>12.0</v>
      </c>
      <c r="E145" s="2">
        <v>1.0</v>
      </c>
      <c r="F145" s="2">
        <f t="array" ref="F145">Sales!$E145*(INDEX(Models!G:G,MATCH(Sales!$D145,Models!A:A,0)))</f>
        <v>20000</v>
      </c>
      <c r="G145" s="2">
        <f t="array" ref="G145">Sales!$E145*(INDEX(Models!H:H,MATCH(Sales!$D145,Models!A:A,0)))</f>
        <v>2000</v>
      </c>
    </row>
    <row r="146" ht="15.75" customHeight="1">
      <c r="A146" s="2">
        <v>145.0</v>
      </c>
      <c r="B146" s="3">
        <v>44821.0</v>
      </c>
      <c r="C146" s="2">
        <v>5.0</v>
      </c>
      <c r="D146" s="2">
        <v>6.0</v>
      </c>
      <c r="E146" s="2">
        <v>2.0</v>
      </c>
      <c r="F146" s="2">
        <f t="array" ref="F146">Sales!$E146*(INDEX(Models!G:G,MATCH(Sales!$D146,Models!A:A,0)))</f>
        <v>26000</v>
      </c>
      <c r="G146" s="2">
        <f t="array" ref="G146">Sales!$E146*(INDEX(Models!H:H,MATCH(Sales!$D146,Models!A:A,0)))</f>
        <v>2600</v>
      </c>
    </row>
    <row r="147" ht="15.75" customHeight="1">
      <c r="A147" s="2">
        <v>146.0</v>
      </c>
      <c r="B147" s="3">
        <v>44824.0</v>
      </c>
      <c r="C147" s="2">
        <v>8.0</v>
      </c>
      <c r="D147" s="2">
        <v>7.0</v>
      </c>
      <c r="E147" s="2">
        <v>1.0</v>
      </c>
      <c r="F147" s="2">
        <f t="array" ref="F147">Sales!$E147*(INDEX(Models!G:G,MATCH(Sales!$D147,Models!A:A,0)))</f>
        <v>22000</v>
      </c>
      <c r="G147" s="2">
        <f t="array" ref="G147">Sales!$E147*(INDEX(Models!H:H,MATCH(Sales!$D147,Models!A:A,0)))</f>
        <v>2200</v>
      </c>
    </row>
    <row r="148" ht="15.75" customHeight="1">
      <c r="A148" s="2">
        <v>147.0</v>
      </c>
      <c r="B148" s="3">
        <v>44825.0</v>
      </c>
      <c r="C148" s="2">
        <v>8.0</v>
      </c>
      <c r="D148" s="2">
        <v>14.0</v>
      </c>
      <c r="E148" s="2">
        <v>1.0</v>
      </c>
      <c r="F148" s="2">
        <f t="array" ref="F148">Sales!$E148*(INDEX(Models!G:G,MATCH(Sales!$D148,Models!A:A,0)))</f>
        <v>32000</v>
      </c>
      <c r="G148" s="2">
        <f t="array" ref="G148">Sales!$E148*(INDEX(Models!H:H,MATCH(Sales!$D148,Models!A:A,0)))</f>
        <v>6400</v>
      </c>
    </row>
    <row r="149" ht="15.75" customHeight="1">
      <c r="A149" s="2">
        <v>148.0</v>
      </c>
      <c r="B149" s="3">
        <v>44826.0</v>
      </c>
      <c r="C149" s="2">
        <v>5.0</v>
      </c>
      <c r="D149" s="2">
        <v>8.0</v>
      </c>
      <c r="E149" s="2">
        <v>3.0</v>
      </c>
      <c r="F149" s="2">
        <f t="array" ref="F149">Sales!$E149*(INDEX(Models!G:G,MATCH(Sales!$D149,Models!A:A,0)))</f>
        <v>51000</v>
      </c>
      <c r="G149" s="2">
        <f t="array" ref="G149">Sales!$E149*(INDEX(Models!H:H,MATCH(Sales!$D149,Models!A:A,0)))</f>
        <v>5100</v>
      </c>
    </row>
    <row r="150" ht="15.75" customHeight="1">
      <c r="A150" s="2">
        <v>149.0</v>
      </c>
      <c r="B150" s="3">
        <v>44827.0</v>
      </c>
      <c r="C150" s="2">
        <v>5.0</v>
      </c>
      <c r="D150" s="2">
        <v>9.0</v>
      </c>
      <c r="E150" s="2">
        <v>1.0</v>
      </c>
      <c r="F150" s="2">
        <f t="array" ref="F150">Sales!$E150*(INDEX(Models!G:G,MATCH(Sales!$D150,Models!A:A,0)))</f>
        <v>40000</v>
      </c>
      <c r="G150" s="2">
        <f t="array" ref="G150">Sales!$E150*(INDEX(Models!H:H,MATCH(Sales!$D150,Models!A:A,0)))</f>
        <v>4000</v>
      </c>
    </row>
    <row r="151" ht="15.75" customHeight="1">
      <c r="A151" s="2">
        <v>150.0</v>
      </c>
      <c r="B151" s="3">
        <v>44828.0</v>
      </c>
      <c r="C151" s="2">
        <v>5.0</v>
      </c>
      <c r="D151" s="2">
        <v>10.0</v>
      </c>
      <c r="E151" s="2">
        <v>1.0</v>
      </c>
      <c r="F151" s="2">
        <f t="array" ref="F151">Sales!$E151*(INDEX(Models!G:G,MATCH(Sales!$D151,Models!A:A,0)))</f>
        <v>12000</v>
      </c>
      <c r="G151" s="2">
        <f t="array" ref="G151">Sales!$E151*(INDEX(Models!H:H,MATCH(Sales!$D151,Models!A:A,0)))</f>
        <v>1200</v>
      </c>
    </row>
    <row r="152" ht="15.75" customHeight="1">
      <c r="A152" s="2">
        <v>151.0</v>
      </c>
      <c r="B152" s="3">
        <v>44831.0</v>
      </c>
      <c r="C152" s="2">
        <v>5.0</v>
      </c>
      <c r="D152" s="2">
        <v>4.0</v>
      </c>
      <c r="E152" s="2">
        <v>2.0</v>
      </c>
      <c r="F152" s="2">
        <f t="array" ref="F152">Sales!$E152*(INDEX(Models!G:G,MATCH(Sales!$D152,Models!A:A,0)))</f>
        <v>70000</v>
      </c>
      <c r="G152" s="2">
        <f t="array" ref="G152">Sales!$E152*(INDEX(Models!H:H,MATCH(Sales!$D152,Models!A:A,0)))</f>
        <v>7000</v>
      </c>
    </row>
    <row r="153" ht="15.75" customHeight="1">
      <c r="A153" s="2">
        <v>152.0</v>
      </c>
      <c r="B153" s="3">
        <v>44832.0</v>
      </c>
      <c r="C153" s="2">
        <v>1.0</v>
      </c>
      <c r="D153" s="2">
        <v>14.0</v>
      </c>
      <c r="E153" s="2">
        <v>1.0</v>
      </c>
      <c r="F153" s="2">
        <f t="array" ref="F153">Sales!$E153*(INDEX(Models!G:G,MATCH(Sales!$D153,Models!A:A,0)))</f>
        <v>32000</v>
      </c>
      <c r="G153" s="2">
        <f t="array" ref="G153">Sales!$E153*(INDEX(Models!H:H,MATCH(Sales!$D153,Models!A:A,0)))</f>
        <v>6400</v>
      </c>
    </row>
    <row r="154" ht="15.75" customHeight="1">
      <c r="A154" s="2">
        <v>153.0</v>
      </c>
      <c r="B154" s="3">
        <v>44833.0</v>
      </c>
      <c r="C154" s="2">
        <v>2.0</v>
      </c>
      <c r="D154" s="2">
        <v>4.0</v>
      </c>
      <c r="E154" s="2">
        <v>3.0</v>
      </c>
      <c r="F154" s="2">
        <f t="array" ref="F154">Sales!$E154*(INDEX(Models!G:G,MATCH(Sales!$D154,Models!A:A,0)))</f>
        <v>105000</v>
      </c>
      <c r="G154" s="2">
        <f t="array" ref="G154">Sales!$E154*(INDEX(Models!H:H,MATCH(Sales!$D154,Models!A:A,0)))</f>
        <v>10500</v>
      </c>
    </row>
    <row r="155" ht="15.75" customHeight="1">
      <c r="A155" s="2">
        <v>154.0</v>
      </c>
      <c r="B155" s="3">
        <v>44834.0</v>
      </c>
      <c r="C155" s="2">
        <v>7.0</v>
      </c>
      <c r="D155" s="2">
        <v>1.0</v>
      </c>
      <c r="E155" s="2">
        <v>1.0</v>
      </c>
      <c r="F155" s="2">
        <f t="array" ref="F155">Sales!$E155*(INDEX(Models!G:G,MATCH(Sales!$D155,Models!A:A,0)))</f>
        <v>18000</v>
      </c>
      <c r="G155" s="2">
        <f t="array" ref="G155">Sales!$E155*(INDEX(Models!H:H,MATCH(Sales!$D155,Models!A:A,0)))</f>
        <v>1800</v>
      </c>
    </row>
    <row r="156" ht="15.75" customHeight="1">
      <c r="A156" s="2">
        <v>155.0</v>
      </c>
      <c r="B156" s="3">
        <v>44835.0</v>
      </c>
      <c r="C156" s="2">
        <v>4.0</v>
      </c>
      <c r="D156" s="2">
        <v>4.0</v>
      </c>
      <c r="E156" s="2">
        <v>2.0</v>
      </c>
      <c r="F156" s="2">
        <f t="array" ref="F156">Sales!$E156*(INDEX(Models!G:G,MATCH(Sales!$D156,Models!A:A,0)))</f>
        <v>70000</v>
      </c>
      <c r="G156" s="2">
        <f t="array" ref="G156">Sales!$E156*(INDEX(Models!H:H,MATCH(Sales!$D156,Models!A:A,0)))</f>
        <v>7000</v>
      </c>
    </row>
    <row r="157" ht="15.75" customHeight="1">
      <c r="A157" s="2">
        <v>156.0</v>
      </c>
      <c r="B157" s="3">
        <v>44838.0</v>
      </c>
      <c r="C157" s="2">
        <v>6.0</v>
      </c>
      <c r="D157" s="2">
        <v>14.0</v>
      </c>
      <c r="E157" s="2">
        <v>1.0</v>
      </c>
      <c r="F157" s="2">
        <f t="array" ref="F157">Sales!$E157*(INDEX(Models!G:G,MATCH(Sales!$D157,Models!A:A,0)))</f>
        <v>32000</v>
      </c>
      <c r="G157" s="2">
        <f t="array" ref="G157">Sales!$E157*(INDEX(Models!H:H,MATCH(Sales!$D157,Models!A:A,0)))</f>
        <v>6400</v>
      </c>
    </row>
    <row r="158" ht="15.75" customHeight="1">
      <c r="A158" s="2">
        <v>157.0</v>
      </c>
      <c r="B158" s="3">
        <v>44839.0</v>
      </c>
      <c r="C158" s="2">
        <v>4.0</v>
      </c>
      <c r="D158" s="2">
        <v>14.0</v>
      </c>
      <c r="E158" s="2">
        <v>1.0</v>
      </c>
      <c r="F158" s="2">
        <f t="array" ref="F158">Sales!$E158*(INDEX(Models!G:G,MATCH(Sales!$D158,Models!A:A,0)))</f>
        <v>32000</v>
      </c>
      <c r="G158" s="2">
        <f t="array" ref="G158">Sales!$E158*(INDEX(Models!H:H,MATCH(Sales!$D158,Models!A:A,0)))</f>
        <v>6400</v>
      </c>
    </row>
    <row r="159" ht="15.75" customHeight="1">
      <c r="A159" s="2">
        <v>158.0</v>
      </c>
      <c r="B159" s="3">
        <v>44840.0</v>
      </c>
      <c r="C159" s="2">
        <v>2.0</v>
      </c>
      <c r="D159" s="2">
        <v>7.0</v>
      </c>
      <c r="E159" s="2">
        <v>3.0</v>
      </c>
      <c r="F159" s="2">
        <f t="array" ref="F159">Sales!$E159*(INDEX(Models!G:G,MATCH(Sales!$D159,Models!A:A,0)))</f>
        <v>66000</v>
      </c>
      <c r="G159" s="2">
        <f t="array" ref="G159">Sales!$E159*(INDEX(Models!H:H,MATCH(Sales!$D159,Models!A:A,0)))</f>
        <v>6600</v>
      </c>
    </row>
    <row r="160" ht="15.75" customHeight="1">
      <c r="A160" s="2">
        <v>159.0</v>
      </c>
      <c r="B160" s="3">
        <v>44841.0</v>
      </c>
      <c r="C160" s="2">
        <v>8.0</v>
      </c>
      <c r="D160" s="2">
        <v>2.0</v>
      </c>
      <c r="E160" s="2">
        <v>1.0</v>
      </c>
      <c r="F160" s="2">
        <f t="array" ref="F160">Sales!$E160*(INDEX(Models!G:G,MATCH(Sales!$D160,Models!A:A,0)))</f>
        <v>15000</v>
      </c>
      <c r="G160" s="2">
        <f t="array" ref="G160">Sales!$E160*(INDEX(Models!H:H,MATCH(Sales!$D160,Models!A:A,0)))</f>
        <v>1500</v>
      </c>
    </row>
    <row r="161" ht="15.75" customHeight="1">
      <c r="A161" s="2">
        <v>160.0</v>
      </c>
      <c r="B161" s="3">
        <v>44842.0</v>
      </c>
      <c r="C161" s="2">
        <v>5.0</v>
      </c>
      <c r="D161" s="2">
        <v>14.0</v>
      </c>
      <c r="E161" s="2">
        <v>1.0</v>
      </c>
      <c r="F161" s="2">
        <f t="array" ref="F161">Sales!$E161*(INDEX(Models!G:G,MATCH(Sales!$D161,Models!A:A,0)))</f>
        <v>32000</v>
      </c>
      <c r="G161" s="2">
        <f t="array" ref="G161">Sales!$E161*(INDEX(Models!H:H,MATCH(Sales!$D161,Models!A:A,0)))</f>
        <v>6400</v>
      </c>
    </row>
    <row r="162" ht="15.75" customHeight="1">
      <c r="A162" s="2">
        <v>161.0</v>
      </c>
      <c r="B162" s="3">
        <v>44845.0</v>
      </c>
      <c r="C162" s="2">
        <v>2.0</v>
      </c>
      <c r="D162" s="2">
        <v>7.0</v>
      </c>
      <c r="E162" s="2">
        <v>2.0</v>
      </c>
      <c r="F162" s="2">
        <f t="array" ref="F162">Sales!$E162*(INDEX(Models!G:G,MATCH(Sales!$D162,Models!A:A,0)))</f>
        <v>44000</v>
      </c>
      <c r="G162" s="2">
        <f t="array" ref="G162">Sales!$E162*(INDEX(Models!H:H,MATCH(Sales!$D162,Models!A:A,0)))</f>
        <v>4400</v>
      </c>
    </row>
    <row r="163" ht="15.75" customHeight="1">
      <c r="A163" s="2">
        <v>162.0</v>
      </c>
      <c r="B163" s="3">
        <v>44846.0</v>
      </c>
      <c r="C163" s="2">
        <v>10.0</v>
      </c>
      <c r="D163" s="2">
        <v>10.0</v>
      </c>
      <c r="E163" s="2">
        <v>1.0</v>
      </c>
      <c r="F163" s="2">
        <f t="array" ref="F163">Sales!$E163*(INDEX(Models!G:G,MATCH(Sales!$D163,Models!A:A,0)))</f>
        <v>12000</v>
      </c>
      <c r="G163" s="2">
        <f t="array" ref="G163">Sales!$E163*(INDEX(Models!H:H,MATCH(Sales!$D163,Models!A:A,0)))</f>
        <v>1200</v>
      </c>
    </row>
    <row r="164" ht="15.75" customHeight="1">
      <c r="A164" s="2">
        <v>163.0</v>
      </c>
      <c r="B164" s="3">
        <v>44847.0</v>
      </c>
      <c r="C164" s="2">
        <v>5.0</v>
      </c>
      <c r="D164" s="2">
        <v>3.0</v>
      </c>
      <c r="E164" s="2">
        <v>3.0</v>
      </c>
      <c r="F164" s="2">
        <f t="array" ref="F164">Sales!$E164*(INDEX(Models!G:G,MATCH(Sales!$D164,Models!A:A,0)))</f>
        <v>90000</v>
      </c>
      <c r="G164" s="2">
        <f t="array" ref="G164">Sales!$E164*(INDEX(Models!H:H,MATCH(Sales!$D164,Models!A:A,0)))</f>
        <v>18000</v>
      </c>
    </row>
    <row r="165" ht="15.75" customHeight="1">
      <c r="A165" s="2">
        <v>164.0</v>
      </c>
      <c r="B165" s="3">
        <v>44848.0</v>
      </c>
      <c r="C165" s="2">
        <v>1.0</v>
      </c>
      <c r="D165" s="2">
        <v>5.0</v>
      </c>
      <c r="E165" s="2">
        <v>1.0</v>
      </c>
      <c r="F165" s="2">
        <f t="array" ref="F165">Sales!$E165*(INDEX(Models!G:G,MATCH(Sales!$D165,Models!A:A,0)))</f>
        <v>40000</v>
      </c>
      <c r="G165" s="2">
        <f t="array" ref="G165">Sales!$E165*(INDEX(Models!H:H,MATCH(Sales!$D165,Models!A:A,0)))</f>
        <v>4000</v>
      </c>
    </row>
    <row r="166" ht="15.75" customHeight="1">
      <c r="A166" s="2">
        <v>165.0</v>
      </c>
      <c r="B166" s="3">
        <v>44849.0</v>
      </c>
      <c r="C166" s="2">
        <v>10.0</v>
      </c>
      <c r="D166" s="2">
        <v>1.0</v>
      </c>
      <c r="E166" s="2">
        <v>2.0</v>
      </c>
      <c r="F166" s="2">
        <f t="array" ref="F166">Sales!$E166*(INDEX(Models!G:G,MATCH(Sales!$D166,Models!A:A,0)))</f>
        <v>36000</v>
      </c>
      <c r="G166" s="2">
        <f t="array" ref="G166">Sales!$E166*(INDEX(Models!H:H,MATCH(Sales!$D166,Models!A:A,0)))</f>
        <v>3600</v>
      </c>
    </row>
    <row r="167" ht="15.75" customHeight="1">
      <c r="A167" s="2">
        <v>166.0</v>
      </c>
      <c r="B167" s="3">
        <v>44852.0</v>
      </c>
      <c r="C167" s="2">
        <v>5.0</v>
      </c>
      <c r="D167" s="2">
        <v>4.0</v>
      </c>
      <c r="E167" s="2">
        <v>1.0</v>
      </c>
      <c r="F167" s="2">
        <f t="array" ref="F167">Sales!$E167*(INDEX(Models!G:G,MATCH(Sales!$D167,Models!A:A,0)))</f>
        <v>35000</v>
      </c>
      <c r="G167" s="2">
        <f t="array" ref="G167">Sales!$E167*(INDEX(Models!H:H,MATCH(Sales!$D167,Models!A:A,0)))</f>
        <v>3500</v>
      </c>
    </row>
    <row r="168" ht="15.75" customHeight="1">
      <c r="A168" s="2">
        <v>167.0</v>
      </c>
      <c r="B168" s="3">
        <v>44853.0</v>
      </c>
      <c r="C168" s="2">
        <v>2.0</v>
      </c>
      <c r="D168" s="2">
        <v>12.0</v>
      </c>
      <c r="E168" s="2">
        <v>1.0</v>
      </c>
      <c r="F168" s="2">
        <f t="array" ref="F168">Sales!$E168*(INDEX(Models!G:G,MATCH(Sales!$D168,Models!A:A,0)))</f>
        <v>20000</v>
      </c>
      <c r="G168" s="2">
        <f t="array" ref="G168">Sales!$E168*(INDEX(Models!H:H,MATCH(Sales!$D168,Models!A:A,0)))</f>
        <v>2000</v>
      </c>
    </row>
    <row r="169" ht="15.75" customHeight="1">
      <c r="A169" s="2">
        <v>168.0</v>
      </c>
      <c r="B169" s="3">
        <v>44854.0</v>
      </c>
      <c r="C169" s="2">
        <v>5.0</v>
      </c>
      <c r="D169" s="2">
        <v>8.0</v>
      </c>
      <c r="E169" s="2">
        <v>3.0</v>
      </c>
      <c r="F169" s="2">
        <f t="array" ref="F169">Sales!$E169*(INDEX(Models!G:G,MATCH(Sales!$D169,Models!A:A,0)))</f>
        <v>51000</v>
      </c>
      <c r="G169" s="2">
        <f t="array" ref="G169">Sales!$E169*(INDEX(Models!H:H,MATCH(Sales!$D169,Models!A:A,0)))</f>
        <v>5100</v>
      </c>
    </row>
    <row r="170" ht="15.75" customHeight="1">
      <c r="A170" s="2">
        <v>169.0</v>
      </c>
      <c r="B170" s="3">
        <v>44855.0</v>
      </c>
      <c r="C170" s="2">
        <v>9.0</v>
      </c>
      <c r="D170" s="2">
        <v>3.0</v>
      </c>
      <c r="E170" s="2">
        <v>1.0</v>
      </c>
      <c r="F170" s="2">
        <f t="array" ref="F170">Sales!$E170*(INDEX(Models!G:G,MATCH(Sales!$D170,Models!A:A,0)))</f>
        <v>30000</v>
      </c>
      <c r="G170" s="2">
        <f t="array" ref="G170">Sales!$E170*(INDEX(Models!H:H,MATCH(Sales!$D170,Models!A:A,0)))</f>
        <v>6000</v>
      </c>
    </row>
    <row r="171" ht="15.75" customHeight="1">
      <c r="A171" s="2">
        <v>170.0</v>
      </c>
      <c r="B171" s="3">
        <v>44856.0</v>
      </c>
      <c r="C171" s="2">
        <v>5.0</v>
      </c>
      <c r="D171" s="2">
        <v>14.0</v>
      </c>
      <c r="E171" s="2">
        <v>1.0</v>
      </c>
      <c r="F171" s="2">
        <f t="array" ref="F171">Sales!$E171*(INDEX(Models!G:G,MATCH(Sales!$D171,Models!A:A,0)))</f>
        <v>32000</v>
      </c>
      <c r="G171" s="2">
        <f t="array" ref="G171">Sales!$E171*(INDEX(Models!H:H,MATCH(Sales!$D171,Models!A:A,0)))</f>
        <v>6400</v>
      </c>
    </row>
    <row r="172" ht="15.75" customHeight="1">
      <c r="A172" s="2">
        <v>171.0</v>
      </c>
      <c r="B172" s="3">
        <v>44859.0</v>
      </c>
      <c r="C172" s="2">
        <v>9.0</v>
      </c>
      <c r="D172" s="2">
        <v>15.0</v>
      </c>
      <c r="E172" s="2">
        <v>2.0</v>
      </c>
      <c r="F172" s="2">
        <f t="array" ref="F172">Sales!$E172*(INDEX(Models!G:G,MATCH(Sales!$D172,Models!A:A,0)))</f>
        <v>90000</v>
      </c>
      <c r="G172" s="2">
        <f t="array" ref="G172">Sales!$E172*(INDEX(Models!H:H,MATCH(Sales!$D172,Models!A:A,0)))</f>
        <v>9000</v>
      </c>
    </row>
    <row r="173" ht="15.75" customHeight="1">
      <c r="A173" s="2">
        <v>172.0</v>
      </c>
      <c r="B173" s="3">
        <v>44860.0</v>
      </c>
      <c r="C173" s="2">
        <v>8.0</v>
      </c>
      <c r="D173" s="2">
        <v>4.0</v>
      </c>
      <c r="E173" s="2">
        <v>1.0</v>
      </c>
      <c r="F173" s="2">
        <f t="array" ref="F173">Sales!$E173*(INDEX(Models!G:G,MATCH(Sales!$D173,Models!A:A,0)))</f>
        <v>35000</v>
      </c>
      <c r="G173" s="2">
        <f t="array" ref="G173">Sales!$E173*(INDEX(Models!H:H,MATCH(Sales!$D173,Models!A:A,0)))</f>
        <v>3500</v>
      </c>
    </row>
    <row r="174" ht="15.75" customHeight="1">
      <c r="A174" s="2">
        <v>173.0</v>
      </c>
      <c r="B174" s="3">
        <v>44861.0</v>
      </c>
      <c r="C174" s="2">
        <v>10.0</v>
      </c>
      <c r="D174" s="2">
        <v>15.0</v>
      </c>
      <c r="E174" s="2">
        <v>3.0</v>
      </c>
      <c r="F174" s="2">
        <f t="array" ref="F174">Sales!$E174*(INDEX(Models!G:G,MATCH(Sales!$D174,Models!A:A,0)))</f>
        <v>135000</v>
      </c>
      <c r="G174" s="2">
        <f t="array" ref="G174">Sales!$E174*(INDEX(Models!H:H,MATCH(Sales!$D174,Models!A:A,0)))</f>
        <v>13500</v>
      </c>
    </row>
    <row r="175" ht="15.75" customHeight="1">
      <c r="A175" s="2">
        <v>174.0</v>
      </c>
      <c r="B175" s="3">
        <v>44862.0</v>
      </c>
      <c r="C175" s="2">
        <v>4.0</v>
      </c>
      <c r="D175" s="2">
        <v>1.0</v>
      </c>
      <c r="E175" s="2">
        <v>1.0</v>
      </c>
      <c r="F175" s="2">
        <f t="array" ref="F175">Sales!$E175*(INDEX(Models!G:G,MATCH(Sales!$D175,Models!A:A,0)))</f>
        <v>18000</v>
      </c>
      <c r="G175" s="2">
        <f t="array" ref="G175">Sales!$E175*(INDEX(Models!H:H,MATCH(Sales!$D175,Models!A:A,0)))</f>
        <v>1800</v>
      </c>
    </row>
    <row r="176" ht="15.75" customHeight="1">
      <c r="A176" s="2">
        <v>175.0</v>
      </c>
      <c r="B176" s="3">
        <v>44863.0</v>
      </c>
      <c r="C176" s="2">
        <v>4.0</v>
      </c>
      <c r="D176" s="2">
        <v>11.0</v>
      </c>
      <c r="E176" s="2">
        <v>2.0</v>
      </c>
      <c r="F176" s="2">
        <f t="array" ref="F176">Sales!$E176*(INDEX(Models!G:G,MATCH(Sales!$D176,Models!A:A,0)))</f>
        <v>90000</v>
      </c>
      <c r="G176" s="2">
        <f t="array" ref="G176">Sales!$E176*(INDEX(Models!H:H,MATCH(Sales!$D176,Models!A:A,0)))</f>
        <v>18000</v>
      </c>
    </row>
    <row r="177" ht="15.75" customHeight="1">
      <c r="A177" s="2">
        <v>176.0</v>
      </c>
      <c r="B177" s="3">
        <v>44866.0</v>
      </c>
      <c r="C177" s="2">
        <v>3.0</v>
      </c>
      <c r="D177" s="2">
        <v>7.0</v>
      </c>
      <c r="E177" s="2">
        <v>1.0</v>
      </c>
      <c r="F177" s="2">
        <f t="array" ref="F177">Sales!$E177*(INDEX(Models!G:G,MATCH(Sales!$D177,Models!A:A,0)))</f>
        <v>22000</v>
      </c>
      <c r="G177" s="2">
        <f t="array" ref="G177">Sales!$E177*(INDEX(Models!H:H,MATCH(Sales!$D177,Models!A:A,0)))</f>
        <v>2200</v>
      </c>
    </row>
    <row r="178" ht="15.75" customHeight="1">
      <c r="A178" s="2">
        <v>177.0</v>
      </c>
      <c r="B178" s="3">
        <v>44867.0</v>
      </c>
      <c r="C178" s="2">
        <v>6.0</v>
      </c>
      <c r="D178" s="2">
        <v>14.0</v>
      </c>
      <c r="E178" s="2">
        <v>1.0</v>
      </c>
      <c r="F178" s="2">
        <f t="array" ref="F178">Sales!$E178*(INDEX(Models!G:G,MATCH(Sales!$D178,Models!A:A,0)))</f>
        <v>32000</v>
      </c>
      <c r="G178" s="2">
        <f t="array" ref="G178">Sales!$E178*(INDEX(Models!H:H,MATCH(Sales!$D178,Models!A:A,0)))</f>
        <v>6400</v>
      </c>
    </row>
    <row r="179" ht="15.75" customHeight="1">
      <c r="A179" s="2">
        <v>178.0</v>
      </c>
      <c r="B179" s="3">
        <v>44868.0</v>
      </c>
      <c r="C179" s="2">
        <v>5.0</v>
      </c>
      <c r="D179" s="2">
        <v>2.0</v>
      </c>
      <c r="E179" s="2">
        <v>3.0</v>
      </c>
      <c r="F179" s="2">
        <f t="array" ref="F179">Sales!$E179*(INDEX(Models!G:G,MATCH(Sales!$D179,Models!A:A,0)))</f>
        <v>45000</v>
      </c>
      <c r="G179" s="2">
        <f t="array" ref="G179">Sales!$E179*(INDEX(Models!H:H,MATCH(Sales!$D179,Models!A:A,0)))</f>
        <v>4500</v>
      </c>
    </row>
    <row r="180" ht="15.75" customHeight="1">
      <c r="A180" s="2">
        <v>179.0</v>
      </c>
      <c r="B180" s="3">
        <v>44869.0</v>
      </c>
      <c r="C180" s="2">
        <v>10.0</v>
      </c>
      <c r="D180" s="2">
        <v>8.0</v>
      </c>
      <c r="E180" s="2">
        <v>1.0</v>
      </c>
      <c r="F180" s="2">
        <f t="array" ref="F180">Sales!$E180*(INDEX(Models!G:G,MATCH(Sales!$D180,Models!A:A,0)))</f>
        <v>17000</v>
      </c>
      <c r="G180" s="2">
        <f t="array" ref="G180">Sales!$E180*(INDEX(Models!H:H,MATCH(Sales!$D180,Models!A:A,0)))</f>
        <v>1700</v>
      </c>
    </row>
    <row r="181" ht="15.75" customHeight="1">
      <c r="A181" s="2">
        <v>180.0</v>
      </c>
      <c r="B181" s="3">
        <v>44870.0</v>
      </c>
      <c r="C181" s="2">
        <v>2.0</v>
      </c>
      <c r="D181" s="2">
        <v>6.0</v>
      </c>
      <c r="E181" s="2">
        <v>1.0</v>
      </c>
      <c r="F181" s="2">
        <f t="array" ref="F181">Sales!$E181*(INDEX(Models!G:G,MATCH(Sales!$D181,Models!A:A,0)))</f>
        <v>13000</v>
      </c>
      <c r="G181" s="2">
        <f t="array" ref="G181">Sales!$E181*(INDEX(Models!H:H,MATCH(Sales!$D181,Models!A:A,0)))</f>
        <v>1300</v>
      </c>
    </row>
    <row r="182" ht="15.75" customHeight="1">
      <c r="A182" s="2">
        <v>181.0</v>
      </c>
      <c r="B182" s="3">
        <v>44873.0</v>
      </c>
      <c r="C182" s="2">
        <v>5.0</v>
      </c>
      <c r="D182" s="2">
        <v>10.0</v>
      </c>
      <c r="E182" s="2">
        <v>2.0</v>
      </c>
      <c r="F182" s="2">
        <f t="array" ref="F182">Sales!$E182*(INDEX(Models!G:G,MATCH(Sales!$D182,Models!A:A,0)))</f>
        <v>24000</v>
      </c>
      <c r="G182" s="2">
        <f t="array" ref="G182">Sales!$E182*(INDEX(Models!H:H,MATCH(Sales!$D182,Models!A:A,0)))</f>
        <v>2400</v>
      </c>
    </row>
    <row r="183" ht="15.75" customHeight="1">
      <c r="A183" s="2">
        <v>182.0</v>
      </c>
      <c r="B183" s="3">
        <v>44874.0</v>
      </c>
      <c r="C183" s="2">
        <v>2.0</v>
      </c>
      <c r="D183" s="2">
        <v>10.0</v>
      </c>
      <c r="E183" s="2">
        <v>1.0</v>
      </c>
      <c r="F183" s="2">
        <f t="array" ref="F183">Sales!$E183*(INDEX(Models!G:G,MATCH(Sales!$D183,Models!A:A,0)))</f>
        <v>12000</v>
      </c>
      <c r="G183" s="2">
        <f t="array" ref="G183">Sales!$E183*(INDEX(Models!H:H,MATCH(Sales!$D183,Models!A:A,0)))</f>
        <v>1200</v>
      </c>
    </row>
    <row r="184" ht="15.75" customHeight="1">
      <c r="A184" s="2">
        <v>183.0</v>
      </c>
      <c r="B184" s="3">
        <v>44875.0</v>
      </c>
      <c r="C184" s="2">
        <v>8.0</v>
      </c>
      <c r="D184" s="2">
        <v>8.0</v>
      </c>
      <c r="E184" s="2">
        <v>3.0</v>
      </c>
      <c r="F184" s="2">
        <f t="array" ref="F184">Sales!$E184*(INDEX(Models!G:G,MATCH(Sales!$D184,Models!A:A,0)))</f>
        <v>51000</v>
      </c>
      <c r="G184" s="2">
        <f t="array" ref="G184">Sales!$E184*(INDEX(Models!H:H,MATCH(Sales!$D184,Models!A:A,0)))</f>
        <v>5100</v>
      </c>
    </row>
    <row r="185" ht="15.75" customHeight="1">
      <c r="A185" s="2">
        <v>184.0</v>
      </c>
      <c r="B185" s="3">
        <v>44876.0</v>
      </c>
      <c r="C185" s="2">
        <v>3.0</v>
      </c>
      <c r="D185" s="2">
        <v>8.0</v>
      </c>
      <c r="E185" s="2">
        <v>1.0</v>
      </c>
      <c r="F185" s="2">
        <f t="array" ref="F185">Sales!$E185*(INDEX(Models!G:G,MATCH(Sales!$D185,Models!A:A,0)))</f>
        <v>17000</v>
      </c>
      <c r="G185" s="2">
        <f t="array" ref="G185">Sales!$E185*(INDEX(Models!H:H,MATCH(Sales!$D185,Models!A:A,0)))</f>
        <v>1700</v>
      </c>
    </row>
    <row r="186" ht="15.75" customHeight="1">
      <c r="A186" s="2">
        <v>185.0</v>
      </c>
      <c r="B186" s="3">
        <v>44877.0</v>
      </c>
      <c r="C186" s="2">
        <v>4.0</v>
      </c>
      <c r="D186" s="2">
        <v>12.0</v>
      </c>
      <c r="E186" s="2">
        <v>2.0</v>
      </c>
      <c r="F186" s="2">
        <f t="array" ref="F186">Sales!$E186*(INDEX(Models!G:G,MATCH(Sales!$D186,Models!A:A,0)))</f>
        <v>40000</v>
      </c>
      <c r="G186" s="2">
        <f t="array" ref="G186">Sales!$E186*(INDEX(Models!H:H,MATCH(Sales!$D186,Models!A:A,0)))</f>
        <v>4000</v>
      </c>
    </row>
    <row r="187" ht="15.75" customHeight="1">
      <c r="A187" s="2">
        <v>186.0</v>
      </c>
      <c r="B187" s="3">
        <v>44880.0</v>
      </c>
      <c r="C187" s="2">
        <v>5.0</v>
      </c>
      <c r="D187" s="2">
        <v>11.0</v>
      </c>
      <c r="E187" s="2">
        <v>1.0</v>
      </c>
      <c r="F187" s="2">
        <f t="array" ref="F187">Sales!$E187*(INDEX(Models!G:G,MATCH(Sales!$D187,Models!A:A,0)))</f>
        <v>45000</v>
      </c>
      <c r="G187" s="2">
        <f t="array" ref="G187">Sales!$E187*(INDEX(Models!H:H,MATCH(Sales!$D187,Models!A:A,0)))</f>
        <v>9000</v>
      </c>
    </row>
    <row r="188" ht="15.75" customHeight="1">
      <c r="A188" s="2">
        <v>187.0</v>
      </c>
      <c r="B188" s="3">
        <v>44881.0</v>
      </c>
      <c r="C188" s="2">
        <v>8.0</v>
      </c>
      <c r="D188" s="2">
        <v>4.0</v>
      </c>
      <c r="E188" s="2">
        <v>1.0</v>
      </c>
      <c r="F188" s="2">
        <f t="array" ref="F188">Sales!$E188*(INDEX(Models!G:G,MATCH(Sales!$D188,Models!A:A,0)))</f>
        <v>35000</v>
      </c>
      <c r="G188" s="2">
        <f t="array" ref="G188">Sales!$E188*(INDEX(Models!H:H,MATCH(Sales!$D188,Models!A:A,0)))</f>
        <v>3500</v>
      </c>
    </row>
    <row r="189" ht="15.75" customHeight="1">
      <c r="A189" s="2">
        <v>188.0</v>
      </c>
      <c r="B189" s="3">
        <v>44882.0</v>
      </c>
      <c r="C189" s="2">
        <v>2.0</v>
      </c>
      <c r="D189" s="2">
        <v>3.0</v>
      </c>
      <c r="E189" s="2">
        <v>3.0</v>
      </c>
      <c r="F189" s="2">
        <f t="array" ref="F189">Sales!$E189*(INDEX(Models!G:G,MATCH(Sales!$D189,Models!A:A,0)))</f>
        <v>90000</v>
      </c>
      <c r="G189" s="2">
        <f t="array" ref="G189">Sales!$E189*(INDEX(Models!H:H,MATCH(Sales!$D189,Models!A:A,0)))</f>
        <v>18000</v>
      </c>
    </row>
    <row r="190" ht="15.75" customHeight="1">
      <c r="A190" s="2">
        <v>189.0</v>
      </c>
      <c r="B190" s="3">
        <v>44883.0</v>
      </c>
      <c r="C190" s="2">
        <v>3.0</v>
      </c>
      <c r="D190" s="2">
        <v>1.0</v>
      </c>
      <c r="E190" s="2">
        <v>1.0</v>
      </c>
      <c r="F190" s="2">
        <f t="array" ref="F190">Sales!$E190*(INDEX(Models!G:G,MATCH(Sales!$D190,Models!A:A,0)))</f>
        <v>18000</v>
      </c>
      <c r="G190" s="2">
        <f t="array" ref="G190">Sales!$E190*(INDEX(Models!H:H,MATCH(Sales!$D190,Models!A:A,0)))</f>
        <v>1800</v>
      </c>
    </row>
    <row r="191" ht="15.75" customHeight="1">
      <c r="A191" s="2">
        <v>190.0</v>
      </c>
      <c r="B191" s="3">
        <v>44884.0</v>
      </c>
      <c r="C191" s="2">
        <v>9.0</v>
      </c>
      <c r="D191" s="2">
        <v>1.0</v>
      </c>
      <c r="E191" s="2">
        <v>1.0</v>
      </c>
      <c r="F191" s="2">
        <f t="array" ref="F191">Sales!$E191*(INDEX(Models!G:G,MATCH(Sales!$D191,Models!A:A,0)))</f>
        <v>18000</v>
      </c>
      <c r="G191" s="2">
        <f t="array" ref="G191">Sales!$E191*(INDEX(Models!H:H,MATCH(Sales!$D191,Models!A:A,0)))</f>
        <v>1800</v>
      </c>
    </row>
    <row r="192" ht="15.75" customHeight="1">
      <c r="A192" s="2">
        <v>191.0</v>
      </c>
      <c r="B192" s="3">
        <v>44887.0</v>
      </c>
      <c r="C192" s="2">
        <v>3.0</v>
      </c>
      <c r="D192" s="2">
        <v>11.0</v>
      </c>
      <c r="E192" s="2">
        <v>2.0</v>
      </c>
      <c r="F192" s="2">
        <f t="array" ref="F192">Sales!$E192*(INDEX(Models!G:G,MATCH(Sales!$D192,Models!A:A,0)))</f>
        <v>90000</v>
      </c>
      <c r="G192" s="2">
        <f t="array" ref="G192">Sales!$E192*(INDEX(Models!H:H,MATCH(Sales!$D192,Models!A:A,0)))</f>
        <v>18000</v>
      </c>
    </row>
    <row r="193" ht="15.75" customHeight="1">
      <c r="A193" s="2">
        <v>192.0</v>
      </c>
      <c r="B193" s="3">
        <v>44888.0</v>
      </c>
      <c r="C193" s="2">
        <v>4.0</v>
      </c>
      <c r="D193" s="2">
        <v>4.0</v>
      </c>
      <c r="E193" s="2">
        <v>1.0</v>
      </c>
      <c r="F193" s="2">
        <f t="array" ref="F193">Sales!$E193*(INDEX(Models!G:G,MATCH(Sales!$D193,Models!A:A,0)))</f>
        <v>35000</v>
      </c>
      <c r="G193" s="2">
        <f t="array" ref="G193">Sales!$E193*(INDEX(Models!H:H,MATCH(Sales!$D193,Models!A:A,0)))</f>
        <v>3500</v>
      </c>
    </row>
    <row r="194" ht="15.75" customHeight="1">
      <c r="A194" s="2">
        <v>193.0</v>
      </c>
      <c r="B194" s="3">
        <v>44889.0</v>
      </c>
      <c r="C194" s="2">
        <v>7.0</v>
      </c>
      <c r="D194" s="2">
        <v>15.0</v>
      </c>
      <c r="E194" s="2">
        <v>3.0</v>
      </c>
      <c r="F194" s="2">
        <f t="array" ref="F194">Sales!$E194*(INDEX(Models!G:G,MATCH(Sales!$D194,Models!A:A,0)))</f>
        <v>135000</v>
      </c>
      <c r="G194" s="2">
        <f t="array" ref="G194">Sales!$E194*(INDEX(Models!H:H,MATCH(Sales!$D194,Models!A:A,0)))</f>
        <v>13500</v>
      </c>
    </row>
    <row r="195" ht="15.75" customHeight="1">
      <c r="A195" s="2">
        <v>194.0</v>
      </c>
      <c r="B195" s="3">
        <v>44890.0</v>
      </c>
      <c r="C195" s="2">
        <v>3.0</v>
      </c>
      <c r="D195" s="2">
        <v>6.0</v>
      </c>
      <c r="E195" s="2">
        <v>1.0</v>
      </c>
      <c r="F195" s="2">
        <f t="array" ref="F195">Sales!$E195*(INDEX(Models!G:G,MATCH(Sales!$D195,Models!A:A,0)))</f>
        <v>13000</v>
      </c>
      <c r="G195" s="2">
        <f t="array" ref="G195">Sales!$E195*(INDEX(Models!H:H,MATCH(Sales!$D195,Models!A:A,0)))</f>
        <v>1300</v>
      </c>
    </row>
    <row r="196" ht="15.75" customHeight="1">
      <c r="A196" s="2">
        <v>195.0</v>
      </c>
      <c r="B196" s="3">
        <v>44891.0</v>
      </c>
      <c r="C196" s="2">
        <v>7.0</v>
      </c>
      <c r="D196" s="2">
        <v>14.0</v>
      </c>
      <c r="E196" s="2">
        <v>2.0</v>
      </c>
      <c r="F196" s="2">
        <f t="array" ref="F196">Sales!$E196*(INDEX(Models!G:G,MATCH(Sales!$D196,Models!A:A,0)))</f>
        <v>64000</v>
      </c>
      <c r="G196" s="2">
        <f t="array" ref="G196">Sales!$E196*(INDEX(Models!H:H,MATCH(Sales!$D196,Models!A:A,0)))</f>
        <v>12800</v>
      </c>
    </row>
    <row r="197" ht="15.75" customHeight="1">
      <c r="A197" s="2">
        <v>196.0</v>
      </c>
      <c r="B197" s="3">
        <v>44894.0</v>
      </c>
      <c r="C197" s="2">
        <v>9.0</v>
      </c>
      <c r="D197" s="2">
        <v>1.0</v>
      </c>
      <c r="E197" s="2">
        <v>1.0</v>
      </c>
      <c r="F197" s="2">
        <f t="array" ref="F197">Sales!$E197*(INDEX(Models!G:G,MATCH(Sales!$D197,Models!A:A,0)))</f>
        <v>18000</v>
      </c>
      <c r="G197" s="2">
        <f t="array" ref="G197">Sales!$E197*(INDEX(Models!H:H,MATCH(Sales!$D197,Models!A:A,0)))</f>
        <v>1800</v>
      </c>
    </row>
    <row r="198" ht="15.75" customHeight="1">
      <c r="A198" s="2">
        <v>197.0</v>
      </c>
      <c r="B198" s="3">
        <v>44895.0</v>
      </c>
      <c r="C198" s="2">
        <v>10.0</v>
      </c>
      <c r="D198" s="2">
        <v>9.0</v>
      </c>
      <c r="E198" s="2">
        <v>1.0</v>
      </c>
      <c r="F198" s="2">
        <f t="array" ref="F198">Sales!$E198*(INDEX(Models!G:G,MATCH(Sales!$D198,Models!A:A,0)))</f>
        <v>40000</v>
      </c>
      <c r="G198" s="2">
        <f t="array" ref="G198">Sales!$E198*(INDEX(Models!H:H,MATCH(Sales!$D198,Models!A:A,0)))</f>
        <v>4000</v>
      </c>
    </row>
    <row r="199" ht="15.75" customHeight="1">
      <c r="A199" s="2">
        <v>198.0</v>
      </c>
      <c r="B199" s="3">
        <v>44896.0</v>
      </c>
      <c r="C199" s="2">
        <v>3.0</v>
      </c>
      <c r="D199" s="2">
        <v>5.0</v>
      </c>
      <c r="E199" s="2">
        <v>3.0</v>
      </c>
      <c r="F199" s="2">
        <f t="array" ref="F199">Sales!$E199*(INDEX(Models!G:G,MATCH(Sales!$D199,Models!A:A,0)))</f>
        <v>120000</v>
      </c>
      <c r="G199" s="2">
        <f t="array" ref="G199">Sales!$E199*(INDEX(Models!H:H,MATCH(Sales!$D199,Models!A:A,0)))</f>
        <v>12000</v>
      </c>
    </row>
    <row r="200" ht="15.75" customHeight="1">
      <c r="A200" s="2">
        <v>199.0</v>
      </c>
      <c r="B200" s="3">
        <v>44897.0</v>
      </c>
      <c r="C200" s="2">
        <v>8.0</v>
      </c>
      <c r="D200" s="2">
        <v>7.0</v>
      </c>
      <c r="E200" s="2">
        <v>1.0</v>
      </c>
      <c r="F200" s="2">
        <f t="array" ref="F200">Sales!$E200*(INDEX(Models!G:G,MATCH(Sales!$D200,Models!A:A,0)))</f>
        <v>22000</v>
      </c>
      <c r="G200" s="2">
        <f t="array" ref="G200">Sales!$E200*(INDEX(Models!H:H,MATCH(Sales!$D200,Models!A:A,0)))</f>
        <v>2200</v>
      </c>
    </row>
    <row r="201" ht="15.75" customHeight="1">
      <c r="A201" s="2">
        <v>200.0</v>
      </c>
      <c r="B201" s="3">
        <v>44898.0</v>
      </c>
      <c r="C201" s="2">
        <v>5.0</v>
      </c>
      <c r="D201" s="2">
        <v>14.0</v>
      </c>
      <c r="E201" s="2">
        <v>1.0</v>
      </c>
      <c r="F201" s="2">
        <f t="array" ref="F201">Sales!$E201*(INDEX(Models!G:G,MATCH(Sales!$D201,Models!A:A,0)))</f>
        <v>32000</v>
      </c>
      <c r="G201" s="2">
        <f t="array" ref="G201">Sales!$E201*(INDEX(Models!H:H,MATCH(Sales!$D201,Models!A:A,0)))</f>
        <v>6400</v>
      </c>
    </row>
    <row r="202" ht="15.75" customHeight="1">
      <c r="A202" s="2">
        <v>201.0</v>
      </c>
      <c r="B202" s="3">
        <v>44901.0</v>
      </c>
      <c r="C202" s="2">
        <v>10.0</v>
      </c>
      <c r="D202" s="2">
        <v>12.0</v>
      </c>
      <c r="E202" s="2">
        <v>2.0</v>
      </c>
      <c r="F202" s="2">
        <f t="array" ref="F202">Sales!$E202*(INDEX(Models!G:G,MATCH(Sales!$D202,Models!A:A,0)))</f>
        <v>40000</v>
      </c>
      <c r="G202" s="2">
        <f t="array" ref="G202">Sales!$E202*(INDEX(Models!H:H,MATCH(Sales!$D202,Models!A:A,0)))</f>
        <v>4000</v>
      </c>
    </row>
    <row r="203" ht="15.75" customHeight="1">
      <c r="A203" s="2">
        <v>202.0</v>
      </c>
      <c r="B203" s="3">
        <v>44902.0</v>
      </c>
      <c r="C203" s="2">
        <v>9.0</v>
      </c>
      <c r="D203" s="2">
        <v>9.0</v>
      </c>
      <c r="E203" s="2">
        <v>1.0</v>
      </c>
      <c r="F203" s="2">
        <f t="array" ref="F203">Sales!$E203*(INDEX(Models!G:G,MATCH(Sales!$D203,Models!A:A,0)))</f>
        <v>40000</v>
      </c>
      <c r="G203" s="2">
        <f t="array" ref="G203">Sales!$E203*(INDEX(Models!H:H,MATCH(Sales!$D203,Models!A:A,0)))</f>
        <v>4000</v>
      </c>
    </row>
    <row r="204" ht="15.75" customHeight="1">
      <c r="A204" s="2">
        <v>203.0</v>
      </c>
      <c r="B204" s="3">
        <v>44903.0</v>
      </c>
      <c r="C204" s="2">
        <v>2.0</v>
      </c>
      <c r="D204" s="2">
        <v>9.0</v>
      </c>
      <c r="E204" s="2">
        <v>3.0</v>
      </c>
      <c r="F204" s="2">
        <f t="array" ref="F204">Sales!$E204*(INDEX(Models!G:G,MATCH(Sales!$D204,Models!A:A,0)))</f>
        <v>120000</v>
      </c>
      <c r="G204" s="2">
        <f t="array" ref="G204">Sales!$E204*(INDEX(Models!H:H,MATCH(Sales!$D204,Models!A:A,0)))</f>
        <v>12000</v>
      </c>
    </row>
    <row r="205" ht="15.75" customHeight="1">
      <c r="A205" s="2">
        <v>204.0</v>
      </c>
      <c r="B205" s="3">
        <v>44904.0</v>
      </c>
      <c r="C205" s="2">
        <v>9.0</v>
      </c>
      <c r="D205" s="2">
        <v>7.0</v>
      </c>
      <c r="E205" s="2">
        <v>1.0</v>
      </c>
      <c r="F205" s="2">
        <f t="array" ref="F205">Sales!$E205*(INDEX(Models!G:G,MATCH(Sales!$D205,Models!A:A,0)))</f>
        <v>22000</v>
      </c>
      <c r="G205" s="2">
        <f t="array" ref="G205">Sales!$E205*(INDEX(Models!H:H,MATCH(Sales!$D205,Models!A:A,0)))</f>
        <v>2200</v>
      </c>
    </row>
    <row r="206" ht="15.75" customHeight="1">
      <c r="A206" s="2">
        <v>205.0</v>
      </c>
      <c r="B206" s="3">
        <v>44905.0</v>
      </c>
      <c r="C206" s="2">
        <v>6.0</v>
      </c>
      <c r="D206" s="2">
        <v>3.0</v>
      </c>
      <c r="E206" s="2">
        <v>2.0</v>
      </c>
      <c r="F206" s="2">
        <f t="array" ref="F206">Sales!$E206*(INDEX(Models!G:G,MATCH(Sales!$D206,Models!A:A,0)))</f>
        <v>60000</v>
      </c>
      <c r="G206" s="2">
        <f t="array" ref="G206">Sales!$E206*(INDEX(Models!H:H,MATCH(Sales!$D206,Models!A:A,0)))</f>
        <v>12000</v>
      </c>
    </row>
    <row r="207" ht="15.75" customHeight="1">
      <c r="A207" s="2">
        <v>206.0</v>
      </c>
      <c r="B207" s="3">
        <v>44908.0</v>
      </c>
      <c r="C207" s="2">
        <v>2.0</v>
      </c>
      <c r="D207" s="2">
        <v>10.0</v>
      </c>
      <c r="E207" s="2">
        <v>1.0</v>
      </c>
      <c r="F207" s="2">
        <f t="array" ref="F207">Sales!$E207*(INDEX(Models!G:G,MATCH(Sales!$D207,Models!A:A,0)))</f>
        <v>12000</v>
      </c>
      <c r="G207" s="2">
        <f t="array" ref="G207">Sales!$E207*(INDEX(Models!H:H,MATCH(Sales!$D207,Models!A:A,0)))</f>
        <v>1200</v>
      </c>
    </row>
    <row r="208" ht="15.75" customHeight="1">
      <c r="A208" s="2">
        <v>207.0</v>
      </c>
      <c r="B208" s="3">
        <v>44909.0</v>
      </c>
      <c r="C208" s="2">
        <v>10.0</v>
      </c>
      <c r="D208" s="2">
        <v>9.0</v>
      </c>
      <c r="E208" s="2">
        <v>1.0</v>
      </c>
      <c r="F208" s="2">
        <f t="array" ref="F208">Sales!$E208*(INDEX(Models!G:G,MATCH(Sales!$D208,Models!A:A,0)))</f>
        <v>40000</v>
      </c>
      <c r="G208" s="2">
        <f t="array" ref="G208">Sales!$E208*(INDEX(Models!H:H,MATCH(Sales!$D208,Models!A:A,0)))</f>
        <v>4000</v>
      </c>
    </row>
    <row r="209" ht="15.75" customHeight="1">
      <c r="A209" s="2">
        <v>208.0</v>
      </c>
      <c r="B209" s="3">
        <v>44910.0</v>
      </c>
      <c r="C209" s="2">
        <v>6.0</v>
      </c>
      <c r="D209" s="2">
        <v>13.0</v>
      </c>
      <c r="E209" s="2">
        <v>3.0</v>
      </c>
      <c r="F209" s="2">
        <f t="array" ref="F209">Sales!$E209*(INDEX(Models!G:G,MATCH(Sales!$D209,Models!A:A,0)))</f>
        <v>42000</v>
      </c>
      <c r="G209" s="2">
        <f t="array" ref="G209">Sales!$E209*(INDEX(Models!H:H,MATCH(Sales!$D209,Models!A:A,0)))</f>
        <v>4200</v>
      </c>
    </row>
    <row r="210" ht="15.75" customHeight="1">
      <c r="A210" s="2">
        <v>209.0</v>
      </c>
      <c r="B210" s="3">
        <v>44911.0</v>
      </c>
      <c r="C210" s="2">
        <v>9.0</v>
      </c>
      <c r="D210" s="2">
        <v>8.0</v>
      </c>
      <c r="E210" s="2">
        <v>1.0</v>
      </c>
      <c r="F210" s="2">
        <f t="array" ref="F210">Sales!$E210*(INDEX(Models!G:G,MATCH(Sales!$D210,Models!A:A,0)))</f>
        <v>17000</v>
      </c>
      <c r="G210" s="2">
        <f t="array" ref="G210">Sales!$E210*(INDEX(Models!H:H,MATCH(Sales!$D210,Models!A:A,0)))</f>
        <v>1700</v>
      </c>
    </row>
    <row r="211" ht="15.75" customHeight="1">
      <c r="A211" s="2">
        <v>210.0</v>
      </c>
      <c r="B211" s="3">
        <v>44912.0</v>
      </c>
      <c r="C211" s="2">
        <v>4.0</v>
      </c>
      <c r="D211" s="2">
        <v>9.0</v>
      </c>
      <c r="E211" s="2">
        <v>1.0</v>
      </c>
      <c r="F211" s="2">
        <f t="array" ref="F211">Sales!$E211*(INDEX(Models!G:G,MATCH(Sales!$D211,Models!A:A,0)))</f>
        <v>40000</v>
      </c>
      <c r="G211" s="2">
        <f t="array" ref="G211">Sales!$E211*(INDEX(Models!H:H,MATCH(Sales!$D211,Models!A:A,0)))</f>
        <v>4000</v>
      </c>
    </row>
    <row r="212" ht="15.75" customHeight="1">
      <c r="A212" s="2">
        <v>211.0</v>
      </c>
      <c r="B212" s="3">
        <v>44915.0</v>
      </c>
      <c r="C212" s="2">
        <v>1.0</v>
      </c>
      <c r="D212" s="2">
        <v>5.0</v>
      </c>
      <c r="E212" s="2">
        <v>2.0</v>
      </c>
      <c r="F212" s="2">
        <f t="array" ref="F212">Sales!$E212*(INDEX(Models!G:G,MATCH(Sales!$D212,Models!A:A,0)))</f>
        <v>80000</v>
      </c>
      <c r="G212" s="2">
        <f t="array" ref="G212">Sales!$E212*(INDEX(Models!H:H,MATCH(Sales!$D212,Models!A:A,0)))</f>
        <v>8000</v>
      </c>
    </row>
    <row r="213" ht="15.75" customHeight="1">
      <c r="A213" s="2">
        <v>212.0</v>
      </c>
      <c r="B213" s="3">
        <v>44916.0</v>
      </c>
      <c r="C213" s="2">
        <v>3.0</v>
      </c>
      <c r="D213" s="2">
        <v>7.0</v>
      </c>
      <c r="E213" s="2">
        <v>1.0</v>
      </c>
      <c r="F213" s="2">
        <f t="array" ref="F213">Sales!$E213*(INDEX(Models!G:G,MATCH(Sales!$D213,Models!A:A,0)))</f>
        <v>22000</v>
      </c>
      <c r="G213" s="2">
        <f t="array" ref="G213">Sales!$E213*(INDEX(Models!H:H,MATCH(Sales!$D213,Models!A:A,0)))</f>
        <v>2200</v>
      </c>
    </row>
    <row r="214" ht="15.75" customHeight="1">
      <c r="A214" s="2">
        <v>213.0</v>
      </c>
      <c r="B214" s="3">
        <v>44917.0</v>
      </c>
      <c r="C214" s="2">
        <v>1.0</v>
      </c>
      <c r="D214" s="2">
        <v>12.0</v>
      </c>
      <c r="E214" s="2">
        <v>3.0</v>
      </c>
      <c r="F214" s="2">
        <f t="array" ref="F214">Sales!$E214*(INDEX(Models!G:G,MATCH(Sales!$D214,Models!A:A,0)))</f>
        <v>60000</v>
      </c>
      <c r="G214" s="2">
        <f t="array" ref="G214">Sales!$E214*(INDEX(Models!H:H,MATCH(Sales!$D214,Models!A:A,0)))</f>
        <v>6000</v>
      </c>
    </row>
    <row r="215" ht="15.75" customHeight="1">
      <c r="A215" s="2">
        <v>214.0</v>
      </c>
      <c r="B215" s="3">
        <v>44918.0</v>
      </c>
      <c r="C215" s="2">
        <v>3.0</v>
      </c>
      <c r="D215" s="2">
        <v>2.0</v>
      </c>
      <c r="E215" s="2">
        <v>1.0</v>
      </c>
      <c r="F215" s="2">
        <f t="array" ref="F215">Sales!$E215*(INDEX(Models!G:G,MATCH(Sales!$D215,Models!A:A,0)))</f>
        <v>15000</v>
      </c>
      <c r="G215" s="2">
        <f t="array" ref="G215">Sales!$E215*(INDEX(Models!H:H,MATCH(Sales!$D215,Models!A:A,0)))</f>
        <v>1500</v>
      </c>
    </row>
    <row r="216" ht="15.75" customHeight="1">
      <c r="A216" s="2">
        <v>215.0</v>
      </c>
      <c r="B216" s="3">
        <v>44919.0</v>
      </c>
      <c r="C216" s="2">
        <v>8.0</v>
      </c>
      <c r="D216" s="2">
        <v>3.0</v>
      </c>
      <c r="E216" s="2">
        <v>2.0</v>
      </c>
      <c r="F216" s="2">
        <f t="array" ref="F216">Sales!$E216*(INDEX(Models!G:G,MATCH(Sales!$D216,Models!A:A,0)))</f>
        <v>60000</v>
      </c>
      <c r="G216" s="2">
        <f t="array" ref="G216">Sales!$E216*(INDEX(Models!H:H,MATCH(Sales!$D216,Models!A:A,0)))</f>
        <v>12000</v>
      </c>
    </row>
    <row r="217" ht="15.75" customHeight="1">
      <c r="A217" s="2">
        <v>216.0</v>
      </c>
      <c r="B217" s="3">
        <v>44922.0</v>
      </c>
      <c r="C217" s="2">
        <v>8.0</v>
      </c>
      <c r="D217" s="2">
        <v>10.0</v>
      </c>
      <c r="E217" s="2">
        <v>1.0</v>
      </c>
      <c r="F217" s="2">
        <f t="array" ref="F217">Sales!$E217*(INDEX(Models!G:G,MATCH(Sales!$D217,Models!A:A,0)))</f>
        <v>12000</v>
      </c>
      <c r="G217" s="2">
        <f t="array" ref="G217">Sales!$E217*(INDEX(Models!H:H,MATCH(Sales!$D217,Models!A:A,0)))</f>
        <v>1200</v>
      </c>
    </row>
    <row r="218" ht="15.75" customHeight="1">
      <c r="A218" s="2">
        <v>217.0</v>
      </c>
      <c r="B218" s="3">
        <v>44923.0</v>
      </c>
      <c r="C218" s="2">
        <v>5.0</v>
      </c>
      <c r="D218" s="2">
        <v>11.0</v>
      </c>
      <c r="E218" s="2">
        <v>1.0</v>
      </c>
      <c r="F218" s="2">
        <f t="array" ref="F218">Sales!$E218*(INDEX(Models!G:G,MATCH(Sales!$D218,Models!A:A,0)))</f>
        <v>45000</v>
      </c>
      <c r="G218" s="2">
        <f t="array" ref="G218">Sales!$E218*(INDEX(Models!H:H,MATCH(Sales!$D218,Models!A:A,0)))</f>
        <v>9000</v>
      </c>
    </row>
    <row r="219" ht="15.75" customHeight="1">
      <c r="A219" s="2">
        <v>218.0</v>
      </c>
      <c r="B219" s="3">
        <v>44924.0</v>
      </c>
      <c r="C219" s="2">
        <v>10.0</v>
      </c>
      <c r="D219" s="2">
        <v>6.0</v>
      </c>
      <c r="E219" s="2">
        <v>3.0</v>
      </c>
      <c r="F219" s="2">
        <f t="array" ref="F219">Sales!$E219*(INDEX(Models!G:G,MATCH(Sales!$D219,Models!A:A,0)))</f>
        <v>39000</v>
      </c>
      <c r="G219" s="2">
        <f t="array" ref="G219">Sales!$E219*(INDEX(Models!H:H,MATCH(Sales!$D219,Models!A:A,0)))</f>
        <v>3900</v>
      </c>
    </row>
    <row r="220" ht="15.75" customHeight="1">
      <c r="A220" s="4">
        <v>219.0</v>
      </c>
      <c r="B220" s="5">
        <v>44925.0</v>
      </c>
      <c r="C220" s="4">
        <v>8.0</v>
      </c>
      <c r="D220" s="4">
        <v>8.0</v>
      </c>
      <c r="E220" s="4">
        <v>5.0</v>
      </c>
      <c r="F220" s="4">
        <v>45000.0</v>
      </c>
      <c r="G220" s="4">
        <v>4500.0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45.14"/>
    <col customWidth="1" min="3" max="3" width="24.14"/>
  </cols>
  <sheetData>
    <row r="1">
      <c r="A1" s="6" t="s">
        <v>78</v>
      </c>
      <c r="B1" s="6" t="s">
        <v>79</v>
      </c>
      <c r="C1" s="6" t="s">
        <v>80</v>
      </c>
    </row>
    <row r="2">
      <c r="A2" s="7">
        <v>1.0</v>
      </c>
      <c r="B2" s="7" t="s">
        <v>81</v>
      </c>
      <c r="C2" s="7" t="s">
        <v>82</v>
      </c>
    </row>
  </sheetData>
  <drawing r:id="rId1"/>
</worksheet>
</file>